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 Documents\Disc Golf\Scripts and Applications\disc-golf-programming-projects\Putting_League\"/>
    </mc:Choice>
  </mc:AlternateContent>
  <xr:revisionPtr revIDLastSave="0" documentId="13_ncr:1_{DB418F87-A234-4B99-858F-C637A3DB3B82}" xr6:coauthVersionLast="47" xr6:coauthVersionMax="47" xr10:uidLastSave="{00000000-0000-0000-0000-000000000000}"/>
  <bookViews>
    <workbookView xWindow="36015" yWindow="2655" windowWidth="17280" windowHeight="9375" xr2:uid="{E3DB829F-BBCF-41FF-B4FC-AD3B72915928}"/>
  </bookViews>
  <sheets>
    <sheet name="Master" sheetId="2" r:id="rId1"/>
    <sheet name="Registered Players" sheetId="1" r:id="rId2"/>
  </sheets>
  <definedNames>
    <definedName name="Registered_Players">Table1[Full Name]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2" l="1"/>
  <c r="J6" i="2"/>
  <c r="J5" i="2"/>
  <c r="I5" i="2"/>
  <c r="B146" i="1"/>
  <c r="B179" i="1"/>
  <c r="B113" i="1"/>
  <c r="B23" i="1"/>
  <c r="B97" i="1"/>
  <c r="B57" i="1"/>
  <c r="B34" i="1"/>
  <c r="B147" i="1"/>
  <c r="B75" i="1"/>
  <c r="B55" i="1"/>
  <c r="B172" i="1"/>
  <c r="B33" i="1"/>
  <c r="B62" i="1"/>
  <c r="B8" i="1"/>
  <c r="B149" i="1"/>
  <c r="B106" i="1"/>
  <c r="B109" i="1"/>
  <c r="B68" i="1"/>
  <c r="B178" i="1"/>
  <c r="B130" i="1"/>
  <c r="B48" i="1"/>
  <c r="B139" i="1"/>
  <c r="B112" i="1"/>
  <c r="B111" i="1"/>
  <c r="B93" i="1"/>
  <c r="B108" i="1"/>
  <c r="B125" i="1"/>
  <c r="B132" i="1"/>
  <c r="B86" i="1"/>
  <c r="B11" i="1"/>
  <c r="B2" i="1"/>
  <c r="B136" i="1"/>
  <c r="B29" i="1"/>
  <c r="B62" i="2"/>
  <c r="B61" i="2"/>
  <c r="B60" i="2"/>
  <c r="B59" i="2"/>
  <c r="B58" i="2"/>
  <c r="B57" i="2"/>
  <c r="B56" i="2"/>
  <c r="B55" i="2"/>
  <c r="B54" i="2"/>
  <c r="B53" i="2"/>
  <c r="B52" i="2"/>
  <c r="B51" i="2"/>
  <c r="B19" i="1"/>
  <c r="B142" i="1"/>
  <c r="B72" i="1"/>
  <c r="B32" i="1"/>
  <c r="B91" i="1"/>
  <c r="B183" i="1"/>
  <c r="B69" i="1"/>
  <c r="B4" i="1"/>
  <c r="B137" i="1"/>
  <c r="B53" i="1"/>
  <c r="B84" i="1"/>
  <c r="B123" i="1"/>
  <c r="B15" i="1"/>
  <c r="B134" i="1"/>
  <c r="B167" i="1"/>
  <c r="B157" i="1"/>
  <c r="B103" i="1"/>
  <c r="B181" i="1"/>
  <c r="B85" i="1"/>
  <c r="B135" i="1"/>
  <c r="B170" i="1"/>
  <c r="B121" i="1"/>
  <c r="B51" i="1"/>
  <c r="B160" i="1"/>
  <c r="B40" i="1"/>
  <c r="B36" i="1"/>
  <c r="B173" i="1"/>
  <c r="B64" i="1"/>
  <c r="B25" i="1"/>
  <c r="B184" i="1" l="1"/>
  <c r="B92" i="1"/>
  <c r="B83" i="1"/>
  <c r="B31" i="1"/>
  <c r="B43" i="1"/>
  <c r="B89" i="1"/>
  <c r="B30" i="1"/>
  <c r="B95" i="1"/>
  <c r="B96" i="1"/>
  <c r="B41" i="1"/>
  <c r="B21" i="1"/>
  <c r="B35" i="1"/>
  <c r="B126" i="1"/>
  <c r="B16" i="1"/>
  <c r="B129" i="1"/>
  <c r="B128" i="1"/>
  <c r="B61" i="1"/>
  <c r="B14" i="1"/>
  <c r="B67" i="1"/>
  <c r="B145" i="1"/>
  <c r="B42" i="1"/>
  <c r="B76" i="1"/>
  <c r="B99" i="1"/>
  <c r="B115" i="1"/>
  <c r="B140" i="1" l="1"/>
  <c r="B100" i="1"/>
  <c r="B152" i="1"/>
  <c r="B156" i="1"/>
  <c r="B162" i="1"/>
  <c r="B153" i="1"/>
  <c r="B9" i="1"/>
  <c r="B180" i="1"/>
  <c r="B124" i="1"/>
  <c r="B20" i="1"/>
  <c r="B56" i="1"/>
  <c r="B70" i="1"/>
  <c r="B80" i="1"/>
  <c r="B163" i="1"/>
  <c r="B63" i="1"/>
  <c r="B13" i="1"/>
  <c r="B171" i="1"/>
  <c r="B59" i="1"/>
  <c r="B165" i="1"/>
  <c r="B52" i="1"/>
  <c r="B141" i="1"/>
  <c r="B143" i="1"/>
  <c r="B118" i="1"/>
  <c r="B169" i="1"/>
  <c r="B54" i="1"/>
  <c r="B78" i="1"/>
  <c r="B122" i="1"/>
  <c r="B12" i="1"/>
  <c r="B18" i="1"/>
  <c r="B71" i="1"/>
  <c r="B119" i="1"/>
  <c r="B73" i="1"/>
  <c r="B47" i="1"/>
  <c r="B22" i="1"/>
  <c r="B102" i="1"/>
  <c r="B58" i="1"/>
  <c r="B7" i="1"/>
  <c r="B28" i="1"/>
  <c r="B37" i="1"/>
  <c r="B105" i="1"/>
  <c r="B101" i="1"/>
  <c r="B158" i="1"/>
  <c r="B10" i="1"/>
  <c r="B155" i="1"/>
  <c r="B17" i="1"/>
  <c r="B164" i="1"/>
  <c r="B168" i="1"/>
  <c r="B98" i="1"/>
  <c r="B66" i="1"/>
  <c r="B177" i="1"/>
  <c r="B154" i="1"/>
  <c r="B5" i="1"/>
  <c r="B87" i="1"/>
  <c r="B175" i="1"/>
  <c r="B131" i="1"/>
  <c r="B60" i="1"/>
  <c r="B120" i="1"/>
  <c r="B127" i="1"/>
  <c r="B110" i="1"/>
  <c r="B38" i="1"/>
  <c r="B74" i="1"/>
  <c r="B77" i="1"/>
  <c r="B150" i="1"/>
  <c r="H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2" i="2"/>
  <c r="B50" i="1"/>
  <c r="B159" i="1"/>
  <c r="B161" i="1"/>
  <c r="B44" i="1"/>
  <c r="B144" i="1"/>
  <c r="B107" i="1"/>
  <c r="B151" i="1"/>
  <c r="B24" i="1"/>
  <c r="B182" i="1"/>
  <c r="B114" i="1"/>
  <c r="B39" i="1"/>
  <c r="B148" i="1"/>
  <c r="B90" i="1"/>
  <c r="B49" i="1"/>
  <c r="B174" i="1"/>
  <c r="B46" i="1"/>
  <c r="B81" i="1"/>
  <c r="B116" i="1"/>
  <c r="B79" i="1"/>
  <c r="B65" i="1"/>
  <c r="B27" i="1"/>
  <c r="B133" i="1"/>
  <c r="B117" i="1"/>
  <c r="B138" i="1"/>
  <c r="B3" i="1"/>
  <c r="B6" i="1"/>
  <c r="B166" i="1"/>
  <c r="B88" i="1"/>
  <c r="B176" i="1"/>
  <c r="B94" i="1"/>
  <c r="B104" i="1"/>
  <c r="B45" i="1"/>
</calcChain>
</file>

<file path=xl/sharedStrings.xml><?xml version="1.0" encoding="utf-8"?>
<sst xmlns="http://schemas.openxmlformats.org/spreadsheetml/2006/main" count="27" uniqueCount="27">
  <si>
    <t>Name</t>
  </si>
  <si>
    <t>Bracket_Name</t>
  </si>
  <si>
    <t>Paid</t>
  </si>
  <si>
    <t>Ace</t>
  </si>
  <si>
    <t>Wins</t>
  </si>
  <si>
    <t>Teams</t>
  </si>
  <si>
    <t>Pot Total</t>
  </si>
  <si>
    <t>Ace Pot</t>
  </si>
  <si>
    <t>Payouts</t>
  </si>
  <si>
    <t>Each</t>
  </si>
  <si>
    <t>1st Place</t>
  </si>
  <si>
    <t>2nd Place</t>
  </si>
  <si>
    <t>3rd Place</t>
  </si>
  <si>
    <t>Chicken Dinner</t>
  </si>
  <si>
    <t>1 Coupon</t>
  </si>
  <si>
    <t>4th Place</t>
  </si>
  <si>
    <t>Next Week Paid</t>
  </si>
  <si>
    <t>Entry fee sans Ace pot, paid for the next week</t>
  </si>
  <si>
    <t>Bracket Name</t>
  </si>
  <si>
    <t>Philly A</t>
  </si>
  <si>
    <t>Full Name</t>
  </si>
  <si>
    <t>Player Ranking</t>
  </si>
  <si>
    <t>Division</t>
  </si>
  <si>
    <t>Pro</t>
  </si>
  <si>
    <t>Am</t>
  </si>
  <si>
    <t>Junior</t>
  </si>
  <si>
    <t>Woo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</si>
</sst>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1" tint="0.249977111117893"/>
        <bgColor theme="1" tint="0.249977111117893"/>
      </patternFill>
    </fill>
    <fill>
      <patternFill patternType="solid">
        <fgColor theme="1" tint="0.44999542222357858"/>
        <bgColor theme="1" tint="0.44999542222357858"/>
      </patternFill>
    </fill>
  </fills>
  <borders count="1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/>
    </xf>
    <xf numFmtId="0" fontId="1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1" fillId="2" borderId="0" xfId="0" applyFont="1" applyFill="1"/>
    <xf numFmtId="0" fontId="1" fillId="2" borderId="3" xfId="0" applyFont="1" applyFill="1" applyBorder="1"/>
    <xf numFmtId="0" fontId="1" fillId="2" borderId="0" xfId="0" applyFont="1" applyFill="1" applyAlignment="1">
      <alignment horizontal="left"/>
    </xf>
    <xf numFmtId="0" fontId="1" fillId="2" borderId="8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2" borderId="11" xfId="0" applyFont="1" applyFill="1" applyBorder="1"/>
    <xf numFmtId="0" fontId="2" fillId="0" borderId="0" xfId="0" applyFont="1"/>
    <xf numFmtId="0" fontId="1" fillId="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20"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0"/>
        </top>
        <bottom/>
      </border>
    </dxf>
    <dxf>
      <border outline="0">
        <bottom style="thin">
          <color theme="0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 tint="0.249977111117893"/>
          <bgColor theme="1" tint="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 tint="0.249977111117893"/>
          <bgColor theme="1" tint="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 tint="0.249977111117893"/>
          <bgColor theme="1" tint="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 tint="0.249977111117893"/>
          <bgColor theme="1" tint="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 tint="0.249977111117893"/>
          <bgColor theme="1" tint="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 tint="0.249977111117893"/>
          <bgColor theme="1" tint="0.249977111117893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 tint="0.249977111117893"/>
          <bgColor theme="1" tint="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 tint="0.249977111117893"/>
          <bgColor theme="1" tint="0.249977111117893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3</xdr:row>
          <xdr:rowOff>22860</xdr:rowOff>
        </xdr:from>
        <xdr:to>
          <xdr:col>7</xdr:col>
          <xdr:colOff>434340</xdr:colOff>
          <xdr:row>7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Player Ranking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57150</xdr:colOff>
      <xdr:row>10</xdr:row>
      <xdr:rowOff>28575</xdr:rowOff>
    </xdr:from>
    <xdr:ext cx="4882362" cy="181459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486900" y="1952625"/>
          <a:ext cx="4882362" cy="1814599"/>
        </a:xfrm>
        <a:prstGeom prst="rect">
          <a:avLst/>
        </a:prstGeom>
        <a:solidFill>
          <a:schemeClr val="accent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Instructions/Cheat</a:t>
          </a:r>
          <a:r>
            <a:rPr lang="en-US" sz="1100" baseline="0"/>
            <a:t> Sheet</a:t>
          </a:r>
        </a:p>
        <a:p>
          <a:r>
            <a:rPr lang="en-US" sz="1100" baseline="0"/>
            <a:t>When a player checks in, select their name from the drop down</a:t>
          </a:r>
        </a:p>
        <a:p>
          <a:r>
            <a:rPr lang="en-US" sz="1100" baseline="0"/>
            <a:t>under the name column for the current week's event. If there name is</a:t>
          </a:r>
        </a:p>
        <a:p>
          <a:r>
            <a:rPr lang="en-US" sz="1100" baseline="0"/>
            <a:t>not in the drop down, register them here on this sheet.</a:t>
          </a:r>
        </a:p>
        <a:p>
          <a:r>
            <a:rPr lang="en-US" sz="1100" baseline="0"/>
            <a:t>The first time someone registers, make sure we ask them if they would like</a:t>
          </a:r>
        </a:p>
        <a:p>
          <a:r>
            <a:rPr lang="en-US" sz="1100" baseline="0"/>
            <a:t>to compete for the Pro, Am or Junior trophy this year.</a:t>
          </a:r>
        </a:p>
        <a:p>
          <a:r>
            <a:rPr lang="en-US" sz="1100" baseline="0"/>
            <a:t>When filling out stats at the close of the event, put the amount resulting from this</a:t>
          </a:r>
        </a:p>
        <a:p>
          <a:r>
            <a:rPr lang="en-US" sz="1100" baseline="0"/>
            <a:t>formula: </a:t>
          </a:r>
          <a:r>
            <a:rPr lang="en-US" sz="1100" b="1" baseline="0"/>
            <a:t>Total wins + 2 if they aced the night</a:t>
          </a:r>
        </a:p>
        <a:p>
          <a:r>
            <a:rPr lang="en-US" sz="1100" b="0" baseline="0"/>
            <a:t>into the wins column.</a:t>
          </a:r>
        </a:p>
        <a:p>
          <a:r>
            <a:rPr lang="en-US" sz="1100" b="0" baseline="0"/>
            <a:t>The button on this page will handle totalling the Player Ranking for the season.</a:t>
          </a:r>
          <a:endParaRPr lang="en-US" sz="1100" b="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6B89E87-6FDF-4AD0-A3C5-5AC7EBA46BED}" name="Table2" displayName="Table2" ref="G1:G16" totalsRowShown="0" headerRowDxfId="18" dataDxfId="17" tableBorderDxfId="16">
  <autoFilter ref="G1:G16" xr:uid="{46B89E87-6FDF-4AD0-A3C5-5AC7EBA46BED}"/>
  <tableColumns count="1">
    <tableColumn id="1" xr3:uid="{F20200BB-6BF9-4861-A4AC-8DFE20D6C89F}" name="Teams" dataDxfId="15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82A8E1-3E34-4DCE-95EA-2DEA94C68BD3}" name="Table3" displayName="Table3" ref="A1:E62" totalsRowShown="0" headerRowDxfId="14" dataDxfId="13">
  <autoFilter ref="A1:E62" xr:uid="{A482A8E1-3E34-4DCE-95EA-2DEA94C68BD3}"/>
  <tableColumns count="5">
    <tableColumn id="1" xr3:uid="{26E6FBB2-095F-4D04-AD04-75391233753D}" name="Name" dataDxfId="12"/>
    <tableColumn id="2" xr3:uid="{D112F6EE-7269-49C0-A965-5E96EFFBEC54}" name="Bracket_Name" dataDxfId="11">
      <calculatedColumnFormula>IF(NOT(ISBLANK(A2)),VLOOKUP(A2,'Registered Players'!A:B,2,),"")</calculatedColumnFormula>
    </tableColumn>
    <tableColumn id="3" xr3:uid="{972597E8-340D-4797-A99B-C9F8DF2B91DE}" name="Paid" dataDxfId="10"/>
    <tableColumn id="4" xr3:uid="{CA68B680-FB79-4E36-82BA-9049151F2380}" name="Ace" dataDxfId="9"/>
    <tableColumn id="5" xr3:uid="{9ADE6F30-0A5F-4CF6-9B36-B99C7227AF32}" name="Wins" dataDxfId="8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F7546C-192A-48AB-B3D3-BF713BE784DF}" name="Table1" displayName="Table1" ref="A1:D192" totalsRowShown="0" headerRowDxfId="6" dataDxfId="5" tableBorderDxfId="4">
  <autoFilter ref="A1:D192" xr:uid="{48F7546C-192A-48AB-B3D3-BF713BE784DF}"/>
  <sortState xmlns:xlrd2="http://schemas.microsoft.com/office/spreadsheetml/2017/richdata2" ref="A2:D192">
    <sortCondition ref="A1:A192"/>
  </sortState>
  <tableColumns count="4">
    <tableColumn id="1" xr3:uid="{89D8E04C-8B0B-46EE-8E97-68F96C84D3C4}" name="Full Name" dataDxfId="3"/>
    <tableColumn id="2" xr3:uid="{F189BAE1-B8BF-4922-B18C-AFFA311A8FD5}" name="Bracket Name" dataDxfId="2">
      <calculatedColumnFormula>IF(ISBLANK(A2),"",_xlfn.CONCAT(LEFT(A2,SEARCH(" ",A2,1)-1)," ",MID(A2,SEARCH(" ",A2,1)+1,1)))</calculatedColumnFormula>
    </tableColumn>
    <tableColumn id="3" xr3:uid="{95E14273-922B-488B-A3A6-87AF59290614}" name="Player Ranking" dataDxfId="1"/>
    <tableColumn id="6" xr3:uid="{03C401CE-0321-45E9-8689-922BB85735F7}" name="Division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7F123-6A4D-4077-87B9-64D01A55CFBF}">
  <sheetPr codeName="Sheet5"/>
  <dimension ref="A1:J62"/>
  <sheetViews>
    <sheetView tabSelected="1" workbookViewId="0">
      <selection activeCell="G21" sqref="G21"/>
    </sheetView>
  </sheetViews>
  <sheetFormatPr defaultRowHeight="14.4" x14ac:dyDescent="0.3"/>
  <cols>
    <col min="1" max="1" width="31.44140625" customWidth="1"/>
    <col min="2" max="2" width="31.109375" customWidth="1"/>
    <col min="3" max="3" width="10.88671875" customWidth="1"/>
    <col min="4" max="4" width="9.109375" customWidth="1"/>
    <col min="7" max="7" width="36.5546875" customWidth="1"/>
    <col min="8" max="8" width="18.109375" customWidth="1"/>
    <col min="9" max="9" width="18.44140625" customWidth="1"/>
    <col min="10" max="10" width="8.5546875" customWidth="1"/>
  </cols>
  <sheetData>
    <row r="1" spans="1:10" s="1" customFormat="1" x14ac:dyDescent="0.3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G1" s="18" t="s">
        <v>5</v>
      </c>
      <c r="H1" s="2" t="s">
        <v>6</v>
      </c>
      <c r="I1" s="2" t="s">
        <v>7</v>
      </c>
    </row>
    <row r="2" spans="1:10" x14ac:dyDescent="0.3">
      <c r="A2" s="8"/>
      <c r="B2" s="9" t="str">
        <f>IF(NOT(ISBLANK(A2)),VLOOKUP(A2,'Registered Players'!A:B,2,),"")</f>
        <v/>
      </c>
      <c r="C2" s="9"/>
      <c r="D2" s="9"/>
      <c r="E2" s="9"/>
      <c r="G2" s="8"/>
      <c r="H2" s="3">
        <f>5*COUNTIF(C:C,"X")</f>
        <v>0</v>
      </c>
      <c r="I2" s="3">
        <f>COUNTIF(D:D,"X")</f>
        <v>0</v>
      </c>
    </row>
    <row r="3" spans="1:10" x14ac:dyDescent="0.3">
      <c r="A3" s="10"/>
      <c r="B3" s="11" t="str">
        <f>IF(NOT(ISBLANK(A3)),VLOOKUP(A3,'Registered Players'!A:B,2,),"")</f>
        <v/>
      </c>
      <c r="C3" s="11"/>
      <c r="D3" s="11"/>
      <c r="E3" s="11"/>
      <c r="G3" s="10"/>
    </row>
    <row r="4" spans="1:10" x14ac:dyDescent="0.3">
      <c r="A4" s="8"/>
      <c r="B4" s="9" t="str">
        <f>IF(NOT(ISBLANK(A4)),VLOOKUP(A4,'Registered Players'!A:B,2,),"")</f>
        <v/>
      </c>
      <c r="C4" s="9"/>
      <c r="D4" s="9"/>
      <c r="E4" s="9"/>
      <c r="G4" s="8"/>
      <c r="H4" s="20" t="s">
        <v>8</v>
      </c>
      <c r="I4" s="20"/>
      <c r="J4" s="19" t="s">
        <v>9</v>
      </c>
    </row>
    <row r="5" spans="1:10" x14ac:dyDescent="0.3">
      <c r="A5" s="10"/>
      <c r="B5" s="11" t="str">
        <f>IF(NOT(ISBLANK(A5)),VLOOKUP(A5,'Registered Players'!A:B,2,),"")</f>
        <v/>
      </c>
      <c r="C5" s="11"/>
      <c r="D5" s="11"/>
      <c r="E5" s="11"/>
      <c r="G5" s="10"/>
      <c r="H5" t="s">
        <v>10</v>
      </c>
      <c r="I5">
        <f>IF(H2-52 &gt; 0, H2-52,0)</f>
        <v>0</v>
      </c>
      <c r="J5">
        <f>I5/2</f>
        <v>0</v>
      </c>
    </row>
    <row r="6" spans="1:10" x14ac:dyDescent="0.3">
      <c r="A6" s="8"/>
      <c r="B6" s="9" t="str">
        <f>IF(NOT(ISBLANK(A6)),VLOOKUP(A6,'Registered Players'!A:B,2,),"")</f>
        <v/>
      </c>
      <c r="C6" s="9"/>
      <c r="D6" s="9"/>
      <c r="E6" s="9"/>
      <c r="G6" s="8"/>
      <c r="H6" t="s">
        <v>11</v>
      </c>
      <c r="I6">
        <v>40</v>
      </c>
      <c r="J6">
        <f>I6/2</f>
        <v>20</v>
      </c>
    </row>
    <row r="7" spans="1:10" x14ac:dyDescent="0.3">
      <c r="A7" s="10"/>
      <c r="B7" s="11" t="str">
        <f>IF(NOT(ISBLANK(A7)),VLOOKUP(A7,'Registered Players'!A:B,2,),"")</f>
        <v/>
      </c>
      <c r="C7" s="11"/>
      <c r="D7" s="11"/>
      <c r="E7" s="11"/>
      <c r="G7" s="10"/>
      <c r="H7" t="s">
        <v>12</v>
      </c>
      <c r="I7" t="s">
        <v>13</v>
      </c>
      <c r="J7" t="s">
        <v>14</v>
      </c>
    </row>
    <row r="8" spans="1:10" x14ac:dyDescent="0.3">
      <c r="A8" s="8"/>
      <c r="B8" s="9" t="str">
        <f>IF(NOT(ISBLANK(A8)),VLOOKUP(A8,'Registered Players'!A:B,2,),"")</f>
        <v/>
      </c>
      <c r="C8" s="9"/>
      <c r="D8" s="9"/>
      <c r="E8" s="9"/>
      <c r="G8" s="8"/>
      <c r="H8" t="s">
        <v>15</v>
      </c>
      <c r="I8" t="s">
        <v>16</v>
      </c>
      <c r="J8" t="s">
        <v>17</v>
      </c>
    </row>
    <row r="9" spans="1:10" x14ac:dyDescent="0.3">
      <c r="A9" s="10"/>
      <c r="B9" s="11" t="str">
        <f>IF(NOT(ISBLANK(A9)),VLOOKUP(A9,'Registered Players'!A:B,2,),"")</f>
        <v/>
      </c>
      <c r="C9" s="11"/>
      <c r="D9" s="11"/>
      <c r="E9" s="11"/>
      <c r="G9" s="10"/>
    </row>
    <row r="10" spans="1:10" x14ac:dyDescent="0.3">
      <c r="A10" s="8"/>
      <c r="B10" s="9" t="str">
        <f>IF(NOT(ISBLANK(A10)),VLOOKUP(A10,'Registered Players'!A:B,2,),"")</f>
        <v/>
      </c>
      <c r="C10" s="9"/>
      <c r="D10" s="9"/>
      <c r="E10" s="9"/>
      <c r="G10" s="8"/>
    </row>
    <row r="11" spans="1:10" x14ac:dyDescent="0.3">
      <c r="A11" s="10"/>
      <c r="B11" s="11" t="str">
        <f>IF(NOT(ISBLANK(A11)),VLOOKUP(A11,'Registered Players'!A:B,2,),"")</f>
        <v/>
      </c>
      <c r="C11" s="11"/>
      <c r="D11" s="11"/>
      <c r="E11" s="11"/>
      <c r="G11" s="10"/>
    </row>
    <row r="12" spans="1:10" x14ac:dyDescent="0.3">
      <c r="A12" s="8"/>
      <c r="B12" s="9" t="str">
        <f>IF(NOT(ISBLANK(A12)),VLOOKUP(A12,'Registered Players'!A:B,2,),"")</f>
        <v/>
      </c>
      <c r="C12" s="9"/>
      <c r="D12" s="9"/>
      <c r="E12" s="9"/>
      <c r="G12" s="8"/>
    </row>
    <row r="13" spans="1:10" x14ac:dyDescent="0.3">
      <c r="A13" s="10"/>
      <c r="B13" s="11" t="str">
        <f>IF(NOT(ISBLANK(A13)),VLOOKUP(A13,'Registered Players'!A:B,2,),"")</f>
        <v/>
      </c>
      <c r="C13" s="11"/>
      <c r="D13" s="11"/>
      <c r="E13" s="11"/>
      <c r="G13" s="10"/>
    </row>
    <row r="14" spans="1:10" x14ac:dyDescent="0.3">
      <c r="A14" s="8"/>
      <c r="B14" s="9" t="str">
        <f>IF(NOT(ISBLANK(A14)),VLOOKUP(A14,'Registered Players'!A:B,2,),"")</f>
        <v/>
      </c>
      <c r="C14" s="9"/>
      <c r="D14" s="9"/>
      <c r="E14" s="9"/>
      <c r="G14" s="8"/>
    </row>
    <row r="15" spans="1:10" x14ac:dyDescent="0.3">
      <c r="A15" s="10"/>
      <c r="B15" s="11" t="str">
        <f>IF(NOT(ISBLANK(A15)),VLOOKUP(A15,'Registered Players'!A:B,2,),"")</f>
        <v/>
      </c>
      <c r="C15" s="11"/>
      <c r="D15" s="11"/>
      <c r="E15" s="11"/>
      <c r="G15" s="10"/>
    </row>
    <row r="16" spans="1:10" x14ac:dyDescent="0.3">
      <c r="A16" s="8"/>
      <c r="B16" s="9" t="str">
        <f>IF(NOT(ISBLANK(A16)),VLOOKUP(A16,'Registered Players'!A:B,2,),"")</f>
        <v/>
      </c>
      <c r="C16" s="9"/>
      <c r="D16" s="9"/>
      <c r="E16" s="9"/>
      <c r="G16" s="8"/>
    </row>
    <row r="17" spans="1:5" x14ac:dyDescent="0.3">
      <c r="A17" s="10"/>
      <c r="B17" s="11" t="str">
        <f>IF(NOT(ISBLANK(A17)),VLOOKUP(A17,'Registered Players'!A:B,2,),"")</f>
        <v/>
      </c>
      <c r="C17" s="11"/>
      <c r="D17" s="11"/>
      <c r="E17" s="11"/>
    </row>
    <row r="18" spans="1:5" x14ac:dyDescent="0.3">
      <c r="A18" s="8"/>
      <c r="B18" s="9" t="str">
        <f>IF(NOT(ISBLANK(A18)),VLOOKUP(A18,'Registered Players'!A:B,2,),"")</f>
        <v/>
      </c>
      <c r="C18" s="9"/>
      <c r="D18" s="9"/>
      <c r="E18" s="9"/>
    </row>
    <row r="19" spans="1:5" x14ac:dyDescent="0.3">
      <c r="A19" s="10"/>
      <c r="B19" s="11" t="str">
        <f>IF(NOT(ISBLANK(A19)),VLOOKUP(A19,'Registered Players'!A:B,2,),"")</f>
        <v/>
      </c>
      <c r="C19" s="11"/>
      <c r="D19" s="11"/>
      <c r="E19" s="11"/>
    </row>
    <row r="20" spans="1:5" x14ac:dyDescent="0.3">
      <c r="A20" s="8"/>
      <c r="B20" s="9" t="str">
        <f>IF(NOT(ISBLANK(A20)),VLOOKUP(A20,'Registered Players'!A:B,2,),"")</f>
        <v/>
      </c>
      <c r="C20" s="9"/>
      <c r="D20" s="9"/>
      <c r="E20" s="9"/>
    </row>
    <row r="21" spans="1:5" x14ac:dyDescent="0.3">
      <c r="A21" s="10"/>
      <c r="B21" s="11" t="str">
        <f>IF(NOT(ISBLANK(A21)),VLOOKUP(A21,'Registered Players'!A:B,2,),"")</f>
        <v/>
      </c>
      <c r="C21" s="11"/>
      <c r="D21" s="11"/>
      <c r="E21" s="11"/>
    </row>
    <row r="22" spans="1:5" x14ac:dyDescent="0.3">
      <c r="A22" s="8"/>
      <c r="B22" s="9" t="str">
        <f>IF(NOT(ISBLANK(A22)),VLOOKUP(A22,'Registered Players'!A:B,2,),"")</f>
        <v/>
      </c>
      <c r="C22" s="9"/>
      <c r="D22" s="9"/>
      <c r="E22" s="9"/>
    </row>
    <row r="23" spans="1:5" x14ac:dyDescent="0.3">
      <c r="A23" s="10"/>
      <c r="B23" s="11" t="str">
        <f>IF(NOT(ISBLANK(A23)),VLOOKUP(A23,'Registered Players'!A:B,2,),"")</f>
        <v/>
      </c>
      <c r="C23" s="11"/>
      <c r="D23" s="11"/>
      <c r="E23" s="11"/>
    </row>
    <row r="24" spans="1:5" x14ac:dyDescent="0.3">
      <c r="A24" s="8"/>
      <c r="B24" s="9" t="str">
        <f>IF(NOT(ISBLANK(A24)),VLOOKUP(A24,'Registered Players'!A:B,2,),"")</f>
        <v/>
      </c>
      <c r="C24" s="9"/>
      <c r="D24" s="9"/>
      <c r="E24" s="9"/>
    </row>
    <row r="25" spans="1:5" x14ac:dyDescent="0.3">
      <c r="A25" s="10"/>
      <c r="B25" s="11" t="str">
        <f>IF(NOT(ISBLANK(A25)),VLOOKUP(A25,'Registered Players'!A:B,2,),"")</f>
        <v/>
      </c>
      <c r="C25" s="11"/>
      <c r="D25" s="11"/>
      <c r="E25" s="11"/>
    </row>
    <row r="26" spans="1:5" x14ac:dyDescent="0.3">
      <c r="A26" s="8"/>
      <c r="B26" s="9" t="str">
        <f>IF(NOT(ISBLANK(A26)),VLOOKUP(A26,'Registered Players'!A:B,2,),"")</f>
        <v/>
      </c>
      <c r="C26" s="9"/>
      <c r="D26" s="9"/>
      <c r="E26" s="9"/>
    </row>
    <row r="27" spans="1:5" x14ac:dyDescent="0.3">
      <c r="A27" s="10"/>
      <c r="B27" s="11" t="str">
        <f>IF(NOT(ISBLANK(A27)),VLOOKUP(A27,'Registered Players'!A:B,2,),"")</f>
        <v/>
      </c>
      <c r="C27" s="11"/>
      <c r="D27" s="11"/>
      <c r="E27" s="11"/>
    </row>
    <row r="28" spans="1:5" x14ac:dyDescent="0.3">
      <c r="A28" s="8"/>
      <c r="B28" s="9" t="str">
        <f>IF(NOT(ISBLANK(A28)),VLOOKUP(A28,'Registered Players'!A:B,2,),"")</f>
        <v/>
      </c>
      <c r="C28" s="9"/>
      <c r="D28" s="9"/>
      <c r="E28" s="9"/>
    </row>
    <row r="29" spans="1:5" x14ac:dyDescent="0.3">
      <c r="A29" s="10"/>
      <c r="B29" s="11" t="str">
        <f>IF(NOT(ISBLANK(A29)),VLOOKUP(A29,'Registered Players'!A:B,2,),"")</f>
        <v/>
      </c>
      <c r="C29" s="11"/>
      <c r="D29" s="11"/>
      <c r="E29" s="11"/>
    </row>
    <row r="30" spans="1:5" x14ac:dyDescent="0.3">
      <c r="A30" s="8"/>
      <c r="B30" s="9" t="str">
        <f>IF(NOT(ISBLANK(A30)),VLOOKUP(A30,'Registered Players'!A:B,2,),"")</f>
        <v/>
      </c>
      <c r="C30" s="9"/>
      <c r="D30" s="9"/>
      <c r="E30" s="9"/>
    </row>
    <row r="31" spans="1:5" x14ac:dyDescent="0.3">
      <c r="A31" s="10"/>
      <c r="B31" s="11" t="str">
        <f>IF(NOT(ISBLANK(A31)),VLOOKUP(A31,'Registered Players'!A:B,2,),"")</f>
        <v/>
      </c>
      <c r="C31" s="11"/>
      <c r="D31" s="11"/>
      <c r="E31" s="11"/>
    </row>
    <row r="32" spans="1:5" x14ac:dyDescent="0.3">
      <c r="A32" s="8"/>
      <c r="B32" s="9" t="str">
        <f>IF(NOT(ISBLANK(A32)),VLOOKUP(A32,'Registered Players'!A:B,2,),"")</f>
        <v/>
      </c>
      <c r="C32" s="9"/>
      <c r="D32" s="9"/>
      <c r="E32" s="9"/>
    </row>
    <row r="33" spans="1:5" x14ac:dyDescent="0.3">
      <c r="A33" s="10"/>
      <c r="B33" s="11" t="str">
        <f>IF(NOT(ISBLANK(A33)),VLOOKUP(A33,'Registered Players'!A:B,2,),"")</f>
        <v/>
      </c>
      <c r="C33" s="11"/>
      <c r="D33" s="11"/>
      <c r="E33" s="11"/>
    </row>
    <row r="34" spans="1:5" x14ac:dyDescent="0.3">
      <c r="A34" s="8"/>
      <c r="B34" s="9" t="str">
        <f>IF(NOT(ISBLANK(A34)),VLOOKUP(A34,'Registered Players'!A:B,2,),"")</f>
        <v/>
      </c>
      <c r="C34" s="9"/>
      <c r="D34" s="9"/>
      <c r="E34" s="9"/>
    </row>
    <row r="35" spans="1:5" x14ac:dyDescent="0.3">
      <c r="A35" s="10"/>
      <c r="B35" s="11" t="str">
        <f>IF(NOT(ISBLANK(A35)),VLOOKUP(A35,'Registered Players'!A:B,2,),"")</f>
        <v/>
      </c>
      <c r="C35" s="11"/>
      <c r="D35" s="11"/>
      <c r="E35" s="11"/>
    </row>
    <row r="36" spans="1:5" x14ac:dyDescent="0.3">
      <c r="A36" s="8"/>
      <c r="B36" s="9" t="str">
        <f>IF(NOT(ISBLANK(A36)),VLOOKUP(A36,'Registered Players'!A:B,2,),"")</f>
        <v/>
      </c>
      <c r="C36" s="9"/>
      <c r="D36" s="9"/>
      <c r="E36" s="9"/>
    </row>
    <row r="37" spans="1:5" x14ac:dyDescent="0.3">
      <c r="A37" s="10"/>
      <c r="B37" s="11" t="str">
        <f>IF(NOT(ISBLANK(A37)),VLOOKUP(A37,'Registered Players'!A:B,2,),"")</f>
        <v/>
      </c>
      <c r="C37" s="11"/>
      <c r="D37" s="11"/>
      <c r="E37" s="11"/>
    </row>
    <row r="38" spans="1:5" x14ac:dyDescent="0.3">
      <c r="A38" s="8"/>
      <c r="B38" s="9" t="str">
        <f>IF(NOT(ISBLANK(A38)),VLOOKUP(A38,'Registered Players'!A:B,2,),"")</f>
        <v/>
      </c>
      <c r="C38" s="9"/>
      <c r="D38" s="9"/>
      <c r="E38" s="9"/>
    </row>
    <row r="39" spans="1:5" x14ac:dyDescent="0.3">
      <c r="A39" s="10"/>
      <c r="B39" s="11" t="str">
        <f>IF(NOT(ISBLANK(A39)),VLOOKUP(A39,'Registered Players'!A:B,2,),"")</f>
        <v/>
      </c>
      <c r="C39" s="11"/>
      <c r="D39" s="11"/>
      <c r="E39" s="11"/>
    </row>
    <row r="40" spans="1:5" x14ac:dyDescent="0.3">
      <c r="A40" s="8"/>
      <c r="B40" s="9" t="str">
        <f>IF(NOT(ISBLANK(A40)),VLOOKUP(A40,'Registered Players'!A:B,2,),"")</f>
        <v/>
      </c>
      <c r="C40" s="9"/>
      <c r="D40" s="9"/>
      <c r="E40" s="9"/>
    </row>
    <row r="41" spans="1:5" x14ac:dyDescent="0.3">
      <c r="A41" s="10"/>
      <c r="B41" s="11" t="str">
        <f>IF(NOT(ISBLANK(A41)),VLOOKUP(A41,'Registered Players'!A:B,2,),"")</f>
        <v/>
      </c>
      <c r="C41" s="11"/>
      <c r="D41" s="11"/>
      <c r="E41" s="11"/>
    </row>
    <row r="42" spans="1:5" x14ac:dyDescent="0.3">
      <c r="A42" s="8"/>
      <c r="B42" s="9" t="str">
        <f>IF(NOT(ISBLANK(A42)),VLOOKUP(A42,'Registered Players'!A:B,2,),"")</f>
        <v/>
      </c>
      <c r="C42" s="9"/>
      <c r="D42" s="9"/>
      <c r="E42" s="9"/>
    </row>
    <row r="43" spans="1:5" x14ac:dyDescent="0.3">
      <c r="A43" s="10"/>
      <c r="B43" s="11" t="str">
        <f>IF(NOT(ISBLANK(A43)),VLOOKUP(A43,'Registered Players'!A:B,2,),"")</f>
        <v/>
      </c>
      <c r="C43" s="11"/>
      <c r="D43" s="11"/>
      <c r="E43" s="11"/>
    </row>
    <row r="44" spans="1:5" x14ac:dyDescent="0.3">
      <c r="A44" s="8"/>
      <c r="B44" s="9" t="str">
        <f>IF(NOT(ISBLANK(A44)),VLOOKUP(A44,'Registered Players'!A:B,2,),"")</f>
        <v/>
      </c>
      <c r="C44" s="9"/>
      <c r="D44" s="9"/>
      <c r="E44" s="9"/>
    </row>
    <row r="45" spans="1:5" x14ac:dyDescent="0.3">
      <c r="A45" s="10"/>
      <c r="B45" s="11" t="str">
        <f>IF(NOT(ISBLANK(A45)),VLOOKUP(A45,'Registered Players'!A:B,2,),"")</f>
        <v/>
      </c>
      <c r="C45" s="11"/>
      <c r="D45" s="11"/>
      <c r="E45" s="11"/>
    </row>
    <row r="46" spans="1:5" x14ac:dyDescent="0.3">
      <c r="A46" s="8"/>
      <c r="B46" s="9" t="str">
        <f>IF(NOT(ISBLANK(A46)),VLOOKUP(A46,'Registered Players'!A:B,2,),"")</f>
        <v/>
      </c>
      <c r="C46" s="9"/>
      <c r="D46" s="9"/>
      <c r="E46" s="9"/>
    </row>
    <row r="47" spans="1:5" x14ac:dyDescent="0.3">
      <c r="A47" s="10"/>
      <c r="B47" s="11" t="str">
        <f>IF(NOT(ISBLANK(A47)),VLOOKUP(A47,'Registered Players'!A:B,2,),"")</f>
        <v/>
      </c>
      <c r="C47" s="11"/>
      <c r="D47" s="11"/>
      <c r="E47" s="11"/>
    </row>
    <row r="48" spans="1:5" x14ac:dyDescent="0.3">
      <c r="A48" s="8"/>
      <c r="B48" s="9" t="str">
        <f>IF(NOT(ISBLANK(A48)),VLOOKUP(A48,'Registered Players'!A:B,2,),"")</f>
        <v/>
      </c>
      <c r="C48" s="9"/>
      <c r="D48" s="9"/>
      <c r="E48" s="9"/>
    </row>
    <row r="49" spans="1:5" x14ac:dyDescent="0.3">
      <c r="A49" s="10"/>
      <c r="B49" s="11" t="str">
        <f>IF(NOT(ISBLANK(A49)),VLOOKUP(A49,'Registered Players'!A:B,2,),"")</f>
        <v/>
      </c>
      <c r="C49" s="11"/>
      <c r="D49" s="11"/>
      <c r="E49" s="11"/>
    </row>
    <row r="50" spans="1:5" x14ac:dyDescent="0.3">
      <c r="A50" s="8"/>
      <c r="B50" s="9" t="str">
        <f>IF(NOT(ISBLANK(A50)),VLOOKUP(A50,'Registered Players'!A:B,2,),"")</f>
        <v/>
      </c>
      <c r="C50" s="9"/>
      <c r="D50" s="9"/>
      <c r="E50" s="9"/>
    </row>
    <row r="51" spans="1:5" x14ac:dyDescent="0.3">
      <c r="A51" s="10"/>
      <c r="B51" s="11" t="str">
        <f>IF(NOT(ISBLANK(A51)),VLOOKUP(A51,'Registered Players'!A:B,2,),"")</f>
        <v/>
      </c>
      <c r="C51" s="11"/>
      <c r="D51" s="11"/>
      <c r="E51" s="11"/>
    </row>
    <row r="52" spans="1:5" x14ac:dyDescent="0.3">
      <c r="A52" s="8"/>
      <c r="B52" s="9" t="str">
        <f>IF(NOT(ISBLANK(A52)),VLOOKUP(A52,'Registered Players'!A:B,2,),"")</f>
        <v/>
      </c>
      <c r="C52" s="9"/>
      <c r="D52" s="9"/>
      <c r="E52" s="9"/>
    </row>
    <row r="53" spans="1:5" x14ac:dyDescent="0.3">
      <c r="A53" s="10"/>
      <c r="B53" s="11" t="str">
        <f>IF(NOT(ISBLANK(A53)),VLOOKUP(A53,'Registered Players'!A:B,2,),"")</f>
        <v/>
      </c>
      <c r="C53" s="11"/>
      <c r="D53" s="11"/>
      <c r="E53" s="11"/>
    </row>
    <row r="54" spans="1:5" x14ac:dyDescent="0.3">
      <c r="A54" s="8"/>
      <c r="B54" s="9" t="str">
        <f>IF(NOT(ISBLANK(A54)),VLOOKUP(A54,'Registered Players'!A:B,2,),"")</f>
        <v/>
      </c>
      <c r="C54" s="9"/>
      <c r="D54" s="9"/>
      <c r="E54" s="9"/>
    </row>
    <row r="55" spans="1:5" x14ac:dyDescent="0.3">
      <c r="A55" s="10"/>
      <c r="B55" s="11" t="str">
        <f>IF(NOT(ISBLANK(A55)),VLOOKUP(A55,'Registered Players'!A:B,2,),"")</f>
        <v/>
      </c>
      <c r="C55" s="11"/>
      <c r="D55" s="11"/>
      <c r="E55" s="11"/>
    </row>
    <row r="56" spans="1:5" x14ac:dyDescent="0.3">
      <c r="A56" s="8"/>
      <c r="B56" s="9" t="str">
        <f>IF(NOT(ISBLANK(A56)),VLOOKUP(A56,'Registered Players'!A:B,2,),"")</f>
        <v/>
      </c>
      <c r="C56" s="9"/>
      <c r="D56" s="9"/>
      <c r="E56" s="9"/>
    </row>
    <row r="57" spans="1:5" x14ac:dyDescent="0.3">
      <c r="A57" s="10"/>
      <c r="B57" s="11" t="str">
        <f>IF(NOT(ISBLANK(A57)),VLOOKUP(A57,'Registered Players'!A:B,2,),"")</f>
        <v/>
      </c>
      <c r="C57" s="11"/>
      <c r="D57" s="11"/>
      <c r="E57" s="11"/>
    </row>
    <row r="58" spans="1:5" x14ac:dyDescent="0.3">
      <c r="A58" s="8"/>
      <c r="B58" s="9" t="str">
        <f>IF(NOT(ISBLANK(A58)),VLOOKUP(A58,'Registered Players'!A:B,2,),"")</f>
        <v/>
      </c>
      <c r="C58" s="9"/>
      <c r="D58" s="9"/>
      <c r="E58" s="9"/>
    </row>
    <row r="59" spans="1:5" x14ac:dyDescent="0.3">
      <c r="A59" s="10"/>
      <c r="B59" s="11" t="str">
        <f>IF(NOT(ISBLANK(A59)),VLOOKUP(A59,'Registered Players'!A:B,2,),"")</f>
        <v/>
      </c>
      <c r="C59" s="11"/>
      <c r="D59" s="11"/>
      <c r="E59" s="11"/>
    </row>
    <row r="60" spans="1:5" x14ac:dyDescent="0.3">
      <c r="A60" s="8"/>
      <c r="B60" s="9" t="str">
        <f>IF(NOT(ISBLANK(A60)),VLOOKUP(A60,'Registered Players'!A:B,2,),"")</f>
        <v/>
      </c>
      <c r="C60" s="9"/>
      <c r="D60" s="9"/>
      <c r="E60" s="9"/>
    </row>
    <row r="61" spans="1:5" x14ac:dyDescent="0.3">
      <c r="A61" s="10"/>
      <c r="B61" s="11" t="str">
        <f>IF(NOT(ISBLANK(A61)),VLOOKUP(A61,'Registered Players'!A:B,2,),"")</f>
        <v/>
      </c>
      <c r="C61" s="11"/>
      <c r="D61" s="11"/>
      <c r="E61" s="11"/>
    </row>
    <row r="62" spans="1:5" x14ac:dyDescent="0.3">
      <c r="A62" s="8"/>
      <c r="B62" s="9" t="str">
        <f>IF(NOT(ISBLANK(A62)),VLOOKUP(A62,'Registered Players'!A:B,2,),"")</f>
        <v/>
      </c>
      <c r="C62" s="9"/>
      <c r="D62" s="9"/>
      <c r="E62" s="9"/>
    </row>
  </sheetData>
  <mergeCells count="1">
    <mergeCell ref="H4:I4"/>
  </mergeCells>
  <conditionalFormatting sqref="A2:A80">
    <cfRule type="duplicateValues" dxfId="19" priority="1"/>
  </conditionalFormatting>
  <dataValidations count="1">
    <dataValidation type="list" allowBlank="1" showInputMessage="1" showErrorMessage="1" sqref="A2:A62" xr:uid="{6F0310D1-BB11-414B-9248-DCEF03B57373}">
      <formula1>Registered_Players</formula1>
    </dataValidation>
  </dataValidations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6DC63B-9059-4095-A489-DF0A1CF63DC1}">
          <x14:formula1>
            <xm:f>'Registered Players'!$A$2:$A$80</xm:f>
          </x14:formula1>
          <xm:sqref>A1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CD550-2D14-4AD1-BB36-2DA37C96593F}">
  <sheetPr codeName="Sheet6"/>
  <dimension ref="A1:E192"/>
  <sheetViews>
    <sheetView workbookViewId="0">
      <pane ySplit="1" topLeftCell="A2" activePane="bottomLeft" state="frozen"/>
      <selection pane="bottomLeft" activeCell="F2" sqref="F2"/>
    </sheetView>
  </sheetViews>
  <sheetFormatPr defaultRowHeight="14.4" zeroHeight="1" x14ac:dyDescent="0.3"/>
  <cols>
    <col min="1" max="1" width="43.88671875" customWidth="1"/>
    <col min="2" max="2" width="31.5546875" customWidth="1"/>
    <col min="3" max="3" width="16.109375" customWidth="1"/>
    <col min="4" max="4" width="18.44140625" customWidth="1"/>
  </cols>
  <sheetData>
    <row r="1" spans="1:5" ht="15" thickBot="1" x14ac:dyDescent="0.35">
      <c r="A1" s="4" t="s">
        <v>20</v>
      </c>
      <c r="B1" s="5" t="s">
        <v>18</v>
      </c>
      <c r="C1" s="5" t="s">
        <v>21</v>
      </c>
      <c r="D1" s="16" t="s">
        <v>22</v>
      </c>
      <c r="E1" s="17" t="s">
        <v>23</v>
      </c>
    </row>
    <row r="2" spans="1:5" ht="15" thickTop="1" x14ac:dyDescent="0.3">
      <c r="A2" s="12"/>
      <c r="B2" s="13" t="str">
        <f t="shared" ref="B2:B25" si="0">IF(ISBLANK(A2),"",_xlfn.CONCAT(LEFT(A2,SEARCH(" ",A2,1)-1)," ",MID(A2,SEARCH(" ",A2,1)+1,1)))</f>
        <v/>
      </c>
      <c r="C2" s="13"/>
      <c r="E2" s="17" t="s">
        <v>24</v>
      </c>
    </row>
    <row r="3" spans="1:5" x14ac:dyDescent="0.3">
      <c r="A3" s="14"/>
      <c r="B3" s="15" t="str">
        <f t="shared" si="0"/>
        <v/>
      </c>
      <c r="C3" s="15"/>
      <c r="E3" s="17" t="s">
        <v>25</v>
      </c>
    </row>
    <row r="4" spans="1:5" x14ac:dyDescent="0.3">
      <c r="A4" s="14"/>
      <c r="B4" s="15" t="str">
        <f t="shared" si="0"/>
        <v/>
      </c>
      <c r="C4" s="15"/>
    </row>
    <row r="5" spans="1:5" x14ac:dyDescent="0.3">
      <c r="A5" s="14"/>
      <c r="B5" s="15" t="str">
        <f t="shared" si="0"/>
        <v/>
      </c>
      <c r="C5" s="15"/>
    </row>
    <row r="6" spans="1:5" x14ac:dyDescent="0.3">
      <c r="A6" s="14"/>
      <c r="B6" s="15" t="str">
        <f t="shared" si="0"/>
        <v/>
      </c>
      <c r="C6" s="15"/>
    </row>
    <row r="7" spans="1:5" x14ac:dyDescent="0.3">
      <c r="A7" s="14"/>
      <c r="B7" s="15" t="str">
        <f t="shared" si="0"/>
        <v/>
      </c>
      <c r="C7" s="15"/>
    </row>
    <row r="8" spans="1:5" x14ac:dyDescent="0.3">
      <c r="A8" s="14"/>
      <c r="B8" s="15" t="str">
        <f t="shared" si="0"/>
        <v/>
      </c>
      <c r="C8" s="15"/>
    </row>
    <row r="9" spans="1:5" x14ac:dyDescent="0.3">
      <c r="A9" s="14"/>
      <c r="B9" s="15" t="str">
        <f t="shared" si="0"/>
        <v/>
      </c>
      <c r="C9" s="15"/>
    </row>
    <row r="10" spans="1:5" x14ac:dyDescent="0.3">
      <c r="A10" s="14"/>
      <c r="B10" s="15" t="str">
        <f t="shared" si="0"/>
        <v/>
      </c>
      <c r="C10" s="15"/>
    </row>
    <row r="11" spans="1:5" x14ac:dyDescent="0.3">
      <c r="A11" s="14"/>
      <c r="B11" s="15" t="str">
        <f t="shared" si="0"/>
        <v/>
      </c>
      <c r="C11" s="15"/>
    </row>
    <row r="12" spans="1:5" x14ac:dyDescent="0.3">
      <c r="A12" s="14"/>
      <c r="B12" s="15" t="str">
        <f t="shared" si="0"/>
        <v/>
      </c>
      <c r="C12" s="15"/>
    </row>
    <row r="13" spans="1:5" x14ac:dyDescent="0.3">
      <c r="A13" s="14"/>
      <c r="B13" s="15" t="str">
        <f t="shared" si="0"/>
        <v/>
      </c>
      <c r="C13" s="15"/>
    </row>
    <row r="14" spans="1:5" x14ac:dyDescent="0.3">
      <c r="A14" s="14"/>
      <c r="B14" s="15" t="str">
        <f t="shared" si="0"/>
        <v/>
      </c>
      <c r="C14" s="15"/>
    </row>
    <row r="15" spans="1:5" x14ac:dyDescent="0.3">
      <c r="A15" s="14"/>
      <c r="B15" s="15" t="str">
        <f t="shared" si="0"/>
        <v/>
      </c>
      <c r="C15" s="15"/>
    </row>
    <row r="16" spans="1:5" x14ac:dyDescent="0.3">
      <c r="A16" s="14"/>
      <c r="B16" s="15" t="str">
        <f t="shared" si="0"/>
        <v/>
      </c>
      <c r="C16" s="15"/>
    </row>
    <row r="17" spans="1:3" x14ac:dyDescent="0.3">
      <c r="A17" s="14"/>
      <c r="B17" s="15" t="str">
        <f t="shared" si="0"/>
        <v/>
      </c>
      <c r="C17" s="15"/>
    </row>
    <row r="18" spans="1:3" x14ac:dyDescent="0.3">
      <c r="A18" s="14"/>
      <c r="B18" s="15" t="str">
        <f t="shared" si="0"/>
        <v/>
      </c>
      <c r="C18" s="15"/>
    </row>
    <row r="19" spans="1:3" x14ac:dyDescent="0.3">
      <c r="A19" s="14"/>
      <c r="B19" s="15" t="str">
        <f t="shared" si="0"/>
        <v/>
      </c>
      <c r="C19" s="15"/>
    </row>
    <row r="20" spans="1:3" x14ac:dyDescent="0.3">
      <c r="A20" s="14"/>
      <c r="B20" s="15" t="str">
        <f t="shared" si="0"/>
        <v/>
      </c>
      <c r="C20" s="15"/>
    </row>
    <row r="21" spans="1:3" x14ac:dyDescent="0.3">
      <c r="A21" s="14"/>
      <c r="B21" s="15" t="str">
        <f t="shared" si="0"/>
        <v/>
      </c>
      <c r="C21" s="15"/>
    </row>
    <row r="22" spans="1:3" x14ac:dyDescent="0.3">
      <c r="A22" s="14"/>
      <c r="B22" s="15" t="str">
        <f t="shared" si="0"/>
        <v/>
      </c>
      <c r="C22" s="15"/>
    </row>
    <row r="23" spans="1:3" x14ac:dyDescent="0.3">
      <c r="A23" s="14"/>
      <c r="B23" s="15" t="str">
        <f t="shared" si="0"/>
        <v/>
      </c>
      <c r="C23" s="15"/>
    </row>
    <row r="24" spans="1:3" x14ac:dyDescent="0.3">
      <c r="A24" s="14"/>
      <c r="B24" s="15" t="str">
        <f t="shared" si="0"/>
        <v/>
      </c>
      <c r="C24" s="15"/>
    </row>
    <row r="25" spans="1:3" x14ac:dyDescent="0.3">
      <c r="A25" s="14"/>
      <c r="B25" s="15" t="str">
        <f t="shared" si="0"/>
        <v/>
      </c>
      <c r="C25" s="15"/>
    </row>
    <row r="26" spans="1:3" x14ac:dyDescent="0.3">
      <c r="A26" s="14"/>
      <c r="B26" s="15" t="s">
        <v>26</v>
      </c>
      <c r="C26" s="15"/>
    </row>
    <row r="27" spans="1:3" x14ac:dyDescent="0.3">
      <c r="A27" s="14"/>
      <c r="B27" s="15" t="str">
        <f t="shared" ref="B27:B58" si="1">IF(ISBLANK(A27),"",_xlfn.CONCAT(LEFT(A27,SEARCH(" ",A27,1)-1)," ",MID(A27,SEARCH(" ",A27,1)+1,1)))</f>
        <v/>
      </c>
      <c r="C27" s="15"/>
    </row>
    <row r="28" spans="1:3" x14ac:dyDescent="0.3">
      <c r="A28" s="14"/>
      <c r="B28" s="15" t="str">
        <f t="shared" si="1"/>
        <v/>
      </c>
      <c r="C28" s="15"/>
    </row>
    <row r="29" spans="1:3" x14ac:dyDescent="0.3">
      <c r="A29" s="14"/>
      <c r="B29" s="15" t="str">
        <f t="shared" si="1"/>
        <v/>
      </c>
      <c r="C29" s="15"/>
    </row>
    <row r="30" spans="1:3" x14ac:dyDescent="0.3">
      <c r="A30" s="14"/>
      <c r="B30" s="15" t="str">
        <f t="shared" si="1"/>
        <v/>
      </c>
      <c r="C30" s="15"/>
    </row>
    <row r="31" spans="1:3" x14ac:dyDescent="0.3">
      <c r="A31" s="14"/>
      <c r="B31" s="15" t="str">
        <f t="shared" si="1"/>
        <v/>
      </c>
      <c r="C31" s="15"/>
    </row>
    <row r="32" spans="1:3" x14ac:dyDescent="0.3">
      <c r="A32" s="14"/>
      <c r="B32" s="15" t="str">
        <f t="shared" si="1"/>
        <v/>
      </c>
      <c r="C32" s="15"/>
    </row>
    <row r="33" spans="1:3" x14ac:dyDescent="0.3">
      <c r="A33" s="14"/>
      <c r="B33" s="15" t="str">
        <f t="shared" si="1"/>
        <v/>
      </c>
      <c r="C33" s="15"/>
    </row>
    <row r="34" spans="1:3" x14ac:dyDescent="0.3">
      <c r="A34" s="14"/>
      <c r="B34" s="15" t="str">
        <f t="shared" si="1"/>
        <v/>
      </c>
      <c r="C34" s="15"/>
    </row>
    <row r="35" spans="1:3" x14ac:dyDescent="0.3">
      <c r="A35" s="14"/>
      <c r="B35" s="15" t="str">
        <f t="shared" si="1"/>
        <v/>
      </c>
      <c r="C35" s="15"/>
    </row>
    <row r="36" spans="1:3" x14ac:dyDescent="0.3">
      <c r="A36" s="14"/>
      <c r="B36" s="15" t="str">
        <f t="shared" si="1"/>
        <v/>
      </c>
      <c r="C36" s="15"/>
    </row>
    <row r="37" spans="1:3" x14ac:dyDescent="0.3">
      <c r="A37" s="14"/>
      <c r="B37" s="15" t="str">
        <f t="shared" si="1"/>
        <v/>
      </c>
      <c r="C37" s="15"/>
    </row>
    <row r="38" spans="1:3" x14ac:dyDescent="0.3">
      <c r="A38" s="14"/>
      <c r="B38" s="15" t="str">
        <f t="shared" si="1"/>
        <v/>
      </c>
      <c r="C38" s="15"/>
    </row>
    <row r="39" spans="1:3" x14ac:dyDescent="0.3">
      <c r="A39" s="14"/>
      <c r="B39" s="15" t="str">
        <f t="shared" si="1"/>
        <v/>
      </c>
      <c r="C39" s="15"/>
    </row>
    <row r="40" spans="1:3" x14ac:dyDescent="0.3">
      <c r="A40" s="14"/>
      <c r="B40" s="15" t="str">
        <f t="shared" si="1"/>
        <v/>
      </c>
      <c r="C40" s="15"/>
    </row>
    <row r="41" spans="1:3" x14ac:dyDescent="0.3">
      <c r="A41" s="14"/>
      <c r="B41" s="15" t="str">
        <f t="shared" si="1"/>
        <v/>
      </c>
      <c r="C41" s="15"/>
    </row>
    <row r="42" spans="1:3" x14ac:dyDescent="0.3">
      <c r="A42" s="14"/>
      <c r="B42" s="15" t="str">
        <f t="shared" si="1"/>
        <v/>
      </c>
      <c r="C42" s="15"/>
    </row>
    <row r="43" spans="1:3" x14ac:dyDescent="0.3">
      <c r="A43" s="14"/>
      <c r="B43" s="15" t="str">
        <f t="shared" si="1"/>
        <v/>
      </c>
      <c r="C43" s="15"/>
    </row>
    <row r="44" spans="1:3" x14ac:dyDescent="0.3">
      <c r="A44" s="14"/>
      <c r="B44" s="15" t="str">
        <f t="shared" si="1"/>
        <v/>
      </c>
      <c r="C44" s="15"/>
    </row>
    <row r="45" spans="1:3" x14ac:dyDescent="0.3">
      <c r="A45" s="14"/>
      <c r="B45" s="15" t="str">
        <f t="shared" si="1"/>
        <v/>
      </c>
      <c r="C45" s="15"/>
    </row>
    <row r="46" spans="1:3" x14ac:dyDescent="0.3">
      <c r="A46" s="14"/>
      <c r="B46" s="15" t="str">
        <f t="shared" si="1"/>
        <v/>
      </c>
      <c r="C46" s="15"/>
    </row>
    <row r="47" spans="1:3" x14ac:dyDescent="0.3">
      <c r="A47" s="14"/>
      <c r="B47" s="15" t="str">
        <f t="shared" si="1"/>
        <v/>
      </c>
      <c r="C47" s="15"/>
    </row>
    <row r="48" spans="1:3" x14ac:dyDescent="0.3">
      <c r="A48" s="14"/>
      <c r="B48" s="15" t="str">
        <f t="shared" si="1"/>
        <v/>
      </c>
      <c r="C48" s="15"/>
    </row>
    <row r="49" spans="1:3" x14ac:dyDescent="0.3">
      <c r="A49" s="14"/>
      <c r="B49" s="15" t="str">
        <f t="shared" si="1"/>
        <v/>
      </c>
      <c r="C49" s="15"/>
    </row>
    <row r="50" spans="1:3" x14ac:dyDescent="0.3">
      <c r="A50" s="14"/>
      <c r="B50" s="15" t="str">
        <f t="shared" si="1"/>
        <v/>
      </c>
      <c r="C50" s="15"/>
    </row>
    <row r="51" spans="1:3" x14ac:dyDescent="0.3">
      <c r="A51" s="14"/>
      <c r="B51" s="15" t="str">
        <f t="shared" si="1"/>
        <v/>
      </c>
      <c r="C51" s="15"/>
    </row>
    <row r="52" spans="1:3" x14ac:dyDescent="0.3">
      <c r="A52" s="14"/>
      <c r="B52" s="15" t="str">
        <f t="shared" si="1"/>
        <v/>
      </c>
      <c r="C52" s="15"/>
    </row>
    <row r="53" spans="1:3" x14ac:dyDescent="0.3">
      <c r="A53" s="14"/>
      <c r="B53" s="15" t="str">
        <f t="shared" si="1"/>
        <v/>
      </c>
      <c r="C53" s="15"/>
    </row>
    <row r="54" spans="1:3" x14ac:dyDescent="0.3">
      <c r="A54" s="14"/>
      <c r="B54" s="15" t="str">
        <f t="shared" si="1"/>
        <v/>
      </c>
      <c r="C54" s="15"/>
    </row>
    <row r="55" spans="1:3" x14ac:dyDescent="0.3">
      <c r="A55" s="14"/>
      <c r="B55" s="15" t="str">
        <f t="shared" si="1"/>
        <v/>
      </c>
      <c r="C55" s="15"/>
    </row>
    <row r="56" spans="1:3" x14ac:dyDescent="0.3">
      <c r="A56" s="14"/>
      <c r="B56" s="15" t="str">
        <f t="shared" si="1"/>
        <v/>
      </c>
      <c r="C56" s="15"/>
    </row>
    <row r="57" spans="1:3" x14ac:dyDescent="0.3">
      <c r="A57" s="14"/>
      <c r="B57" s="15" t="str">
        <f t="shared" si="1"/>
        <v/>
      </c>
      <c r="C57" s="15"/>
    </row>
    <row r="58" spans="1:3" x14ac:dyDescent="0.3">
      <c r="A58" s="14"/>
      <c r="B58" s="15" t="str">
        <f t="shared" si="1"/>
        <v/>
      </c>
      <c r="C58" s="15"/>
    </row>
    <row r="59" spans="1:3" x14ac:dyDescent="0.3">
      <c r="A59" s="14"/>
      <c r="B59" s="15" t="str">
        <f t="shared" ref="B59:B81" si="2">IF(ISBLANK(A59),"",_xlfn.CONCAT(LEFT(A59,SEARCH(" ",A59,1)-1)," ",MID(A59,SEARCH(" ",A59,1)+1,1)))</f>
        <v/>
      </c>
      <c r="C59" s="15"/>
    </row>
    <row r="60" spans="1:3" x14ac:dyDescent="0.3">
      <c r="A60" s="14"/>
      <c r="B60" s="15" t="str">
        <f t="shared" si="2"/>
        <v/>
      </c>
      <c r="C60" s="15"/>
    </row>
    <row r="61" spans="1:3" x14ac:dyDescent="0.3">
      <c r="A61" s="14"/>
      <c r="B61" s="15" t="str">
        <f t="shared" si="2"/>
        <v/>
      </c>
      <c r="C61" s="15"/>
    </row>
    <row r="62" spans="1:3" x14ac:dyDescent="0.3">
      <c r="A62" s="14"/>
      <c r="B62" s="15" t="str">
        <f t="shared" si="2"/>
        <v/>
      </c>
      <c r="C62" s="15"/>
    </row>
    <row r="63" spans="1:3" x14ac:dyDescent="0.3">
      <c r="A63" s="14"/>
      <c r="B63" s="15" t="str">
        <f t="shared" si="2"/>
        <v/>
      </c>
      <c r="C63" s="15"/>
    </row>
    <row r="64" spans="1:3" x14ac:dyDescent="0.3">
      <c r="A64" s="14"/>
      <c r="B64" s="15" t="str">
        <f t="shared" si="2"/>
        <v/>
      </c>
      <c r="C64" s="15"/>
    </row>
    <row r="65" spans="1:3" x14ac:dyDescent="0.3">
      <c r="A65" s="14"/>
      <c r="B65" s="15" t="str">
        <f t="shared" si="2"/>
        <v/>
      </c>
      <c r="C65" s="15"/>
    </row>
    <row r="66" spans="1:3" x14ac:dyDescent="0.3">
      <c r="A66" s="14"/>
      <c r="B66" s="15" t="str">
        <f t="shared" si="2"/>
        <v/>
      </c>
      <c r="C66" s="15"/>
    </row>
    <row r="67" spans="1:3" x14ac:dyDescent="0.3">
      <c r="A67" s="14"/>
      <c r="B67" s="15" t="str">
        <f t="shared" si="2"/>
        <v/>
      </c>
      <c r="C67" s="15"/>
    </row>
    <row r="68" spans="1:3" x14ac:dyDescent="0.3">
      <c r="A68" s="14"/>
      <c r="B68" s="15" t="str">
        <f t="shared" si="2"/>
        <v/>
      </c>
      <c r="C68" s="15"/>
    </row>
    <row r="69" spans="1:3" x14ac:dyDescent="0.3">
      <c r="A69" s="14"/>
      <c r="B69" s="15" t="str">
        <f t="shared" si="2"/>
        <v/>
      </c>
      <c r="C69" s="15"/>
    </row>
    <row r="70" spans="1:3" x14ac:dyDescent="0.3">
      <c r="A70" s="14"/>
      <c r="B70" s="15" t="str">
        <f t="shared" si="2"/>
        <v/>
      </c>
      <c r="C70" s="15"/>
    </row>
    <row r="71" spans="1:3" x14ac:dyDescent="0.3">
      <c r="A71" s="14"/>
      <c r="B71" s="15" t="str">
        <f t="shared" si="2"/>
        <v/>
      </c>
      <c r="C71" s="15"/>
    </row>
    <row r="72" spans="1:3" x14ac:dyDescent="0.3">
      <c r="A72" s="14"/>
      <c r="B72" s="15" t="str">
        <f t="shared" si="2"/>
        <v/>
      </c>
      <c r="C72" s="15"/>
    </row>
    <row r="73" spans="1:3" x14ac:dyDescent="0.3">
      <c r="A73" s="14"/>
      <c r="B73" s="15" t="str">
        <f t="shared" si="2"/>
        <v/>
      </c>
      <c r="C73" s="15"/>
    </row>
    <row r="74" spans="1:3" x14ac:dyDescent="0.3">
      <c r="A74" s="14"/>
      <c r="B74" s="15" t="str">
        <f t="shared" si="2"/>
        <v/>
      </c>
      <c r="C74" s="15"/>
    </row>
    <row r="75" spans="1:3" x14ac:dyDescent="0.3">
      <c r="A75" s="14"/>
      <c r="B75" s="15" t="str">
        <f t="shared" si="2"/>
        <v/>
      </c>
      <c r="C75" s="15"/>
    </row>
    <row r="76" spans="1:3" x14ac:dyDescent="0.3">
      <c r="A76" s="14"/>
      <c r="B76" s="15" t="str">
        <f t="shared" si="2"/>
        <v/>
      </c>
      <c r="C76" s="15"/>
    </row>
    <row r="77" spans="1:3" x14ac:dyDescent="0.3">
      <c r="A77" s="14"/>
      <c r="B77" s="15" t="str">
        <f t="shared" si="2"/>
        <v/>
      </c>
      <c r="C77" s="15"/>
    </row>
    <row r="78" spans="1:3" x14ac:dyDescent="0.3">
      <c r="A78" s="14"/>
      <c r="B78" s="15" t="str">
        <f t="shared" si="2"/>
        <v/>
      </c>
      <c r="C78" s="15"/>
    </row>
    <row r="79" spans="1:3" x14ac:dyDescent="0.3">
      <c r="A79" s="14"/>
      <c r="B79" s="15" t="str">
        <f t="shared" si="2"/>
        <v/>
      </c>
      <c r="C79" s="15"/>
    </row>
    <row r="80" spans="1:3" x14ac:dyDescent="0.3">
      <c r="A80" s="14"/>
      <c r="B80" s="15" t="str">
        <f t="shared" si="2"/>
        <v/>
      </c>
      <c r="C80" s="15"/>
    </row>
    <row r="81" spans="1:3" x14ac:dyDescent="0.3">
      <c r="A81" s="14"/>
      <c r="B81" s="15" t="str">
        <f t="shared" si="2"/>
        <v/>
      </c>
      <c r="C81" s="15"/>
    </row>
    <row r="82" spans="1:3" x14ac:dyDescent="0.3">
      <c r="A82" s="14"/>
      <c r="B82" s="15" t="s">
        <v>19</v>
      </c>
      <c r="C82" s="15"/>
    </row>
    <row r="83" spans="1:3" x14ac:dyDescent="0.3">
      <c r="A83" s="14"/>
      <c r="B83" s="15" t="str">
        <f t="shared" ref="B83:B114" si="3">IF(ISBLANK(A83),"",_xlfn.CONCAT(LEFT(A83,SEARCH(" ",A83,1)-1)," ",MID(A83,SEARCH(" ",A83,1)+1,1)))</f>
        <v/>
      </c>
      <c r="C83" s="15"/>
    </row>
    <row r="84" spans="1:3" x14ac:dyDescent="0.3">
      <c r="A84" s="14"/>
      <c r="B84" s="15" t="str">
        <f t="shared" si="3"/>
        <v/>
      </c>
      <c r="C84" s="15"/>
    </row>
    <row r="85" spans="1:3" x14ac:dyDescent="0.3">
      <c r="A85" s="14"/>
      <c r="B85" s="15" t="str">
        <f t="shared" si="3"/>
        <v/>
      </c>
      <c r="C85" s="15"/>
    </row>
    <row r="86" spans="1:3" x14ac:dyDescent="0.3">
      <c r="A86" s="14"/>
      <c r="B86" s="15" t="str">
        <f t="shared" si="3"/>
        <v/>
      </c>
      <c r="C86" s="15"/>
    </row>
    <row r="87" spans="1:3" x14ac:dyDescent="0.3">
      <c r="A87" s="14"/>
      <c r="B87" s="15" t="str">
        <f t="shared" si="3"/>
        <v/>
      </c>
      <c r="C87" s="15"/>
    </row>
    <row r="88" spans="1:3" x14ac:dyDescent="0.3">
      <c r="A88" s="14"/>
      <c r="B88" s="15" t="str">
        <f t="shared" si="3"/>
        <v/>
      </c>
      <c r="C88" s="15"/>
    </row>
    <row r="89" spans="1:3" x14ac:dyDescent="0.3">
      <c r="A89" s="14"/>
      <c r="B89" s="15" t="str">
        <f t="shared" si="3"/>
        <v/>
      </c>
      <c r="C89" s="15"/>
    </row>
    <row r="90" spans="1:3" x14ac:dyDescent="0.3">
      <c r="A90" s="14"/>
      <c r="B90" s="15" t="str">
        <f t="shared" si="3"/>
        <v/>
      </c>
      <c r="C90" s="15"/>
    </row>
    <row r="91" spans="1:3" x14ac:dyDescent="0.3">
      <c r="A91" s="14"/>
      <c r="B91" s="15" t="str">
        <f t="shared" si="3"/>
        <v/>
      </c>
      <c r="C91" s="15"/>
    </row>
    <row r="92" spans="1:3" x14ac:dyDescent="0.3">
      <c r="A92" s="14"/>
      <c r="B92" s="15" t="str">
        <f t="shared" si="3"/>
        <v/>
      </c>
      <c r="C92" s="15"/>
    </row>
    <row r="93" spans="1:3" x14ac:dyDescent="0.3">
      <c r="A93" s="14"/>
      <c r="B93" s="15" t="str">
        <f t="shared" si="3"/>
        <v/>
      </c>
      <c r="C93" s="15"/>
    </row>
    <row r="94" spans="1:3" x14ac:dyDescent="0.3">
      <c r="A94" s="14"/>
      <c r="B94" s="15" t="str">
        <f t="shared" si="3"/>
        <v/>
      </c>
      <c r="C94" s="15"/>
    </row>
    <row r="95" spans="1:3" x14ac:dyDescent="0.3">
      <c r="A95" s="14"/>
      <c r="B95" s="15" t="str">
        <f t="shared" si="3"/>
        <v/>
      </c>
      <c r="C95" s="15"/>
    </row>
    <row r="96" spans="1:3" x14ac:dyDescent="0.3">
      <c r="A96" s="14"/>
      <c r="B96" s="15" t="str">
        <f t="shared" si="3"/>
        <v/>
      </c>
      <c r="C96" s="15"/>
    </row>
    <row r="97" spans="1:3" x14ac:dyDescent="0.3">
      <c r="A97" s="14"/>
      <c r="B97" s="15" t="str">
        <f t="shared" si="3"/>
        <v/>
      </c>
      <c r="C97" s="15"/>
    </row>
    <row r="98" spans="1:3" x14ac:dyDescent="0.3">
      <c r="A98" s="14"/>
      <c r="B98" s="15" t="str">
        <f t="shared" si="3"/>
        <v/>
      </c>
      <c r="C98" s="15"/>
    </row>
    <row r="99" spans="1:3" x14ac:dyDescent="0.3">
      <c r="A99" s="14"/>
      <c r="B99" s="15" t="str">
        <f t="shared" si="3"/>
        <v/>
      </c>
      <c r="C99" s="15"/>
    </row>
    <row r="100" spans="1:3" x14ac:dyDescent="0.3">
      <c r="A100" s="14"/>
      <c r="B100" s="15" t="str">
        <f t="shared" si="3"/>
        <v/>
      </c>
      <c r="C100" s="15"/>
    </row>
    <row r="101" spans="1:3" x14ac:dyDescent="0.3">
      <c r="A101" s="14"/>
      <c r="B101" s="15" t="str">
        <f t="shared" si="3"/>
        <v/>
      </c>
      <c r="C101" s="15"/>
    </row>
    <row r="102" spans="1:3" x14ac:dyDescent="0.3">
      <c r="A102" s="14"/>
      <c r="B102" s="15" t="str">
        <f t="shared" si="3"/>
        <v/>
      </c>
      <c r="C102" s="15"/>
    </row>
    <row r="103" spans="1:3" x14ac:dyDescent="0.3">
      <c r="A103" s="14"/>
      <c r="B103" s="15" t="str">
        <f t="shared" si="3"/>
        <v/>
      </c>
      <c r="C103" s="15"/>
    </row>
    <row r="104" spans="1:3" x14ac:dyDescent="0.3">
      <c r="A104" s="14"/>
      <c r="B104" s="15" t="str">
        <f t="shared" si="3"/>
        <v/>
      </c>
      <c r="C104" s="15"/>
    </row>
    <row r="105" spans="1:3" x14ac:dyDescent="0.3">
      <c r="A105" s="14"/>
      <c r="B105" s="15" t="str">
        <f t="shared" si="3"/>
        <v/>
      </c>
      <c r="C105" s="15"/>
    </row>
    <row r="106" spans="1:3" x14ac:dyDescent="0.3">
      <c r="A106" s="14"/>
      <c r="B106" s="15" t="str">
        <f t="shared" si="3"/>
        <v/>
      </c>
      <c r="C106" s="15"/>
    </row>
    <row r="107" spans="1:3" x14ac:dyDescent="0.3">
      <c r="A107" s="14"/>
      <c r="B107" s="15" t="str">
        <f t="shared" si="3"/>
        <v/>
      </c>
      <c r="C107" s="15"/>
    </row>
    <row r="108" spans="1:3" x14ac:dyDescent="0.3">
      <c r="A108" s="14"/>
      <c r="B108" s="15" t="str">
        <f t="shared" si="3"/>
        <v/>
      </c>
      <c r="C108" s="15"/>
    </row>
    <row r="109" spans="1:3" x14ac:dyDescent="0.3">
      <c r="A109" s="14"/>
      <c r="B109" s="15" t="str">
        <f t="shared" si="3"/>
        <v/>
      </c>
      <c r="C109" s="15"/>
    </row>
    <row r="110" spans="1:3" x14ac:dyDescent="0.3">
      <c r="A110" s="14"/>
      <c r="B110" s="15" t="str">
        <f t="shared" si="3"/>
        <v/>
      </c>
      <c r="C110" s="15"/>
    </row>
    <row r="111" spans="1:3" x14ac:dyDescent="0.3">
      <c r="A111" s="14"/>
      <c r="B111" s="15" t="str">
        <f t="shared" si="3"/>
        <v/>
      </c>
      <c r="C111" s="15"/>
    </row>
    <row r="112" spans="1:3" x14ac:dyDescent="0.3">
      <c r="A112" s="14"/>
      <c r="B112" s="15" t="str">
        <f t="shared" si="3"/>
        <v/>
      </c>
      <c r="C112" s="15"/>
    </row>
    <row r="113" spans="1:3" x14ac:dyDescent="0.3">
      <c r="A113" s="14"/>
      <c r="B113" s="15" t="str">
        <f t="shared" si="3"/>
        <v/>
      </c>
      <c r="C113" s="15"/>
    </row>
    <row r="114" spans="1:3" x14ac:dyDescent="0.3">
      <c r="A114" s="14"/>
      <c r="B114" s="15" t="str">
        <f t="shared" si="3"/>
        <v/>
      </c>
      <c r="C114" s="15"/>
    </row>
    <row r="115" spans="1:3" x14ac:dyDescent="0.3">
      <c r="A115" s="14"/>
      <c r="B115" s="15" t="str">
        <f t="shared" ref="B115:B146" si="4">IF(ISBLANK(A115),"",_xlfn.CONCAT(LEFT(A115,SEARCH(" ",A115,1)-1)," ",MID(A115,SEARCH(" ",A115,1)+1,1)))</f>
        <v/>
      </c>
      <c r="C115" s="15"/>
    </row>
    <row r="116" spans="1:3" x14ac:dyDescent="0.3">
      <c r="A116" s="14"/>
      <c r="B116" s="15" t="str">
        <f t="shared" si="4"/>
        <v/>
      </c>
      <c r="C116" s="15"/>
    </row>
    <row r="117" spans="1:3" x14ac:dyDescent="0.3">
      <c r="A117" s="14"/>
      <c r="B117" s="15" t="str">
        <f t="shared" si="4"/>
        <v/>
      </c>
      <c r="C117" s="15"/>
    </row>
    <row r="118" spans="1:3" x14ac:dyDescent="0.3">
      <c r="A118" s="14"/>
      <c r="B118" s="15" t="str">
        <f t="shared" si="4"/>
        <v/>
      </c>
      <c r="C118" s="15"/>
    </row>
    <row r="119" spans="1:3" x14ac:dyDescent="0.3">
      <c r="A119" s="14"/>
      <c r="B119" s="15" t="str">
        <f t="shared" si="4"/>
        <v/>
      </c>
      <c r="C119" s="15"/>
    </row>
    <row r="120" spans="1:3" x14ac:dyDescent="0.3">
      <c r="A120" s="14"/>
      <c r="B120" s="15" t="str">
        <f t="shared" si="4"/>
        <v/>
      </c>
      <c r="C120" s="15"/>
    </row>
    <row r="121" spans="1:3" x14ac:dyDescent="0.3">
      <c r="A121" s="14"/>
      <c r="B121" s="15" t="str">
        <f t="shared" si="4"/>
        <v/>
      </c>
      <c r="C121" s="15"/>
    </row>
    <row r="122" spans="1:3" x14ac:dyDescent="0.3">
      <c r="A122" s="14"/>
      <c r="B122" s="15" t="str">
        <f t="shared" si="4"/>
        <v/>
      </c>
      <c r="C122" s="15"/>
    </row>
    <row r="123" spans="1:3" x14ac:dyDescent="0.3">
      <c r="A123" s="14"/>
      <c r="B123" s="15" t="str">
        <f t="shared" si="4"/>
        <v/>
      </c>
      <c r="C123" s="15"/>
    </row>
    <row r="124" spans="1:3" x14ac:dyDescent="0.3">
      <c r="A124" s="14"/>
      <c r="B124" s="15" t="str">
        <f t="shared" si="4"/>
        <v/>
      </c>
      <c r="C124" s="15"/>
    </row>
    <row r="125" spans="1:3" x14ac:dyDescent="0.3">
      <c r="A125" s="14"/>
      <c r="B125" s="15" t="str">
        <f t="shared" si="4"/>
        <v/>
      </c>
      <c r="C125" s="15"/>
    </row>
    <row r="126" spans="1:3" x14ac:dyDescent="0.3">
      <c r="A126" s="14"/>
      <c r="B126" s="15" t="str">
        <f t="shared" si="4"/>
        <v/>
      </c>
      <c r="C126" s="15"/>
    </row>
    <row r="127" spans="1:3" x14ac:dyDescent="0.3">
      <c r="A127" s="14"/>
      <c r="B127" s="15" t="str">
        <f t="shared" si="4"/>
        <v/>
      </c>
      <c r="C127" s="15"/>
    </row>
    <row r="128" spans="1:3" x14ac:dyDescent="0.3">
      <c r="A128" s="14"/>
      <c r="B128" s="15" t="str">
        <f t="shared" si="4"/>
        <v/>
      </c>
      <c r="C128" s="15"/>
    </row>
    <row r="129" spans="1:3" x14ac:dyDescent="0.3">
      <c r="A129" s="14"/>
      <c r="B129" s="15" t="str">
        <f t="shared" si="4"/>
        <v/>
      </c>
      <c r="C129" s="15"/>
    </row>
    <row r="130" spans="1:3" x14ac:dyDescent="0.3">
      <c r="A130" s="14"/>
      <c r="B130" s="15" t="str">
        <f t="shared" si="4"/>
        <v/>
      </c>
      <c r="C130" s="15"/>
    </row>
    <row r="131" spans="1:3" x14ac:dyDescent="0.3">
      <c r="A131" s="14"/>
      <c r="B131" s="15" t="str">
        <f t="shared" si="4"/>
        <v/>
      </c>
      <c r="C131" s="15"/>
    </row>
    <row r="132" spans="1:3" x14ac:dyDescent="0.3">
      <c r="A132" s="14"/>
      <c r="B132" s="15" t="str">
        <f t="shared" si="4"/>
        <v/>
      </c>
      <c r="C132" s="15"/>
    </row>
    <row r="133" spans="1:3" x14ac:dyDescent="0.3">
      <c r="A133" s="14"/>
      <c r="B133" s="15" t="str">
        <f t="shared" si="4"/>
        <v/>
      </c>
      <c r="C133" s="15"/>
    </row>
    <row r="134" spans="1:3" x14ac:dyDescent="0.3">
      <c r="A134" s="14"/>
      <c r="B134" s="15" t="str">
        <f t="shared" si="4"/>
        <v/>
      </c>
      <c r="C134" s="15"/>
    </row>
    <row r="135" spans="1:3" x14ac:dyDescent="0.3">
      <c r="A135" s="14"/>
      <c r="B135" s="15" t="str">
        <f t="shared" si="4"/>
        <v/>
      </c>
      <c r="C135" s="15"/>
    </row>
    <row r="136" spans="1:3" x14ac:dyDescent="0.3">
      <c r="A136" s="14"/>
      <c r="B136" s="15" t="str">
        <f t="shared" si="4"/>
        <v/>
      </c>
      <c r="C136" s="15"/>
    </row>
    <row r="137" spans="1:3" x14ac:dyDescent="0.3">
      <c r="A137" s="14"/>
      <c r="B137" s="15" t="str">
        <f t="shared" si="4"/>
        <v/>
      </c>
      <c r="C137" s="15"/>
    </row>
    <row r="138" spans="1:3" x14ac:dyDescent="0.3">
      <c r="A138" s="14"/>
      <c r="B138" s="15" t="str">
        <f t="shared" si="4"/>
        <v/>
      </c>
      <c r="C138" s="15"/>
    </row>
    <row r="139" spans="1:3" x14ac:dyDescent="0.3">
      <c r="A139" s="14"/>
      <c r="B139" s="15" t="str">
        <f t="shared" si="4"/>
        <v/>
      </c>
      <c r="C139" s="15"/>
    </row>
    <row r="140" spans="1:3" x14ac:dyDescent="0.3">
      <c r="A140" s="14"/>
      <c r="B140" s="15" t="str">
        <f t="shared" si="4"/>
        <v/>
      </c>
      <c r="C140" s="15"/>
    </row>
    <row r="141" spans="1:3" x14ac:dyDescent="0.3">
      <c r="A141" s="14"/>
      <c r="B141" s="15" t="str">
        <f t="shared" si="4"/>
        <v/>
      </c>
      <c r="C141" s="15"/>
    </row>
    <row r="142" spans="1:3" x14ac:dyDescent="0.3">
      <c r="A142" s="14"/>
      <c r="B142" s="15" t="str">
        <f t="shared" si="4"/>
        <v/>
      </c>
      <c r="C142" s="15"/>
    </row>
    <row r="143" spans="1:3" x14ac:dyDescent="0.3">
      <c r="A143" s="14"/>
      <c r="B143" s="15" t="str">
        <f t="shared" si="4"/>
        <v/>
      </c>
      <c r="C143" s="15"/>
    </row>
    <row r="144" spans="1:3" x14ac:dyDescent="0.3">
      <c r="A144" s="14"/>
      <c r="B144" s="15" t="str">
        <f t="shared" si="4"/>
        <v/>
      </c>
      <c r="C144" s="15"/>
    </row>
    <row r="145" spans="1:3" x14ac:dyDescent="0.3">
      <c r="A145" s="14"/>
      <c r="B145" s="15" t="str">
        <f t="shared" si="4"/>
        <v/>
      </c>
      <c r="C145" s="15"/>
    </row>
    <row r="146" spans="1:3" x14ac:dyDescent="0.3">
      <c r="A146" s="14"/>
      <c r="B146" s="15" t="str">
        <f t="shared" si="4"/>
        <v/>
      </c>
      <c r="C146" s="15"/>
    </row>
    <row r="147" spans="1:3" x14ac:dyDescent="0.3">
      <c r="A147" s="14"/>
      <c r="B147" s="15" t="str">
        <f t="shared" ref="B147:B178" si="5">IF(ISBLANK(A147),"",_xlfn.CONCAT(LEFT(A147,SEARCH(" ",A147,1)-1)," ",MID(A147,SEARCH(" ",A147,1)+1,1)))</f>
        <v/>
      </c>
      <c r="C147" s="15"/>
    </row>
    <row r="148" spans="1:3" x14ac:dyDescent="0.3">
      <c r="A148" s="14"/>
      <c r="B148" s="15" t="str">
        <f t="shared" si="5"/>
        <v/>
      </c>
      <c r="C148" s="15"/>
    </row>
    <row r="149" spans="1:3" x14ac:dyDescent="0.3">
      <c r="A149" s="14"/>
      <c r="B149" s="15" t="str">
        <f t="shared" si="5"/>
        <v/>
      </c>
      <c r="C149" s="15"/>
    </row>
    <row r="150" spans="1:3" x14ac:dyDescent="0.3">
      <c r="A150" s="14"/>
      <c r="B150" s="15" t="str">
        <f t="shared" si="5"/>
        <v/>
      </c>
      <c r="C150" s="15"/>
    </row>
    <row r="151" spans="1:3" x14ac:dyDescent="0.3">
      <c r="A151" s="14"/>
      <c r="B151" s="15" t="str">
        <f t="shared" si="5"/>
        <v/>
      </c>
      <c r="C151" s="15"/>
    </row>
    <row r="152" spans="1:3" x14ac:dyDescent="0.3">
      <c r="A152" s="14"/>
      <c r="B152" s="15" t="str">
        <f t="shared" si="5"/>
        <v/>
      </c>
      <c r="C152" s="15"/>
    </row>
    <row r="153" spans="1:3" x14ac:dyDescent="0.3">
      <c r="A153" s="14"/>
      <c r="B153" s="15" t="str">
        <f t="shared" si="5"/>
        <v/>
      </c>
      <c r="C153" s="15"/>
    </row>
    <row r="154" spans="1:3" x14ac:dyDescent="0.3">
      <c r="A154" s="14"/>
      <c r="B154" s="15" t="str">
        <f t="shared" si="5"/>
        <v/>
      </c>
      <c r="C154" s="15"/>
    </row>
    <row r="155" spans="1:3" x14ac:dyDescent="0.3">
      <c r="A155" s="14"/>
      <c r="B155" s="15" t="str">
        <f t="shared" si="5"/>
        <v/>
      </c>
      <c r="C155" s="15"/>
    </row>
    <row r="156" spans="1:3" x14ac:dyDescent="0.3">
      <c r="A156" s="14"/>
      <c r="B156" s="15" t="str">
        <f t="shared" si="5"/>
        <v/>
      </c>
      <c r="C156" s="15"/>
    </row>
    <row r="157" spans="1:3" x14ac:dyDescent="0.3">
      <c r="A157" s="14"/>
      <c r="B157" s="15" t="str">
        <f t="shared" si="5"/>
        <v/>
      </c>
      <c r="C157" s="15"/>
    </row>
    <row r="158" spans="1:3" x14ac:dyDescent="0.3">
      <c r="A158" s="14"/>
      <c r="B158" s="15" t="str">
        <f t="shared" si="5"/>
        <v/>
      </c>
      <c r="C158" s="15"/>
    </row>
    <row r="159" spans="1:3" x14ac:dyDescent="0.3">
      <c r="A159" s="14"/>
      <c r="B159" s="15" t="str">
        <f t="shared" si="5"/>
        <v/>
      </c>
      <c r="C159" s="15"/>
    </row>
    <row r="160" spans="1:3" x14ac:dyDescent="0.3">
      <c r="A160" s="14"/>
      <c r="B160" s="15" t="str">
        <f t="shared" si="5"/>
        <v/>
      </c>
      <c r="C160" s="15"/>
    </row>
    <row r="161" spans="1:3" x14ac:dyDescent="0.3">
      <c r="A161" s="14"/>
      <c r="B161" s="15" t="str">
        <f t="shared" si="5"/>
        <v/>
      </c>
      <c r="C161" s="15"/>
    </row>
    <row r="162" spans="1:3" x14ac:dyDescent="0.3">
      <c r="A162" s="14"/>
      <c r="B162" s="15" t="str">
        <f t="shared" si="5"/>
        <v/>
      </c>
      <c r="C162" s="15"/>
    </row>
    <row r="163" spans="1:3" x14ac:dyDescent="0.3">
      <c r="A163" s="14"/>
      <c r="B163" s="15" t="str">
        <f t="shared" si="5"/>
        <v/>
      </c>
      <c r="C163" s="15"/>
    </row>
    <row r="164" spans="1:3" x14ac:dyDescent="0.3">
      <c r="A164" s="14"/>
      <c r="B164" s="15" t="str">
        <f t="shared" si="5"/>
        <v/>
      </c>
      <c r="C164" s="15"/>
    </row>
    <row r="165" spans="1:3" x14ac:dyDescent="0.3">
      <c r="A165" s="14"/>
      <c r="B165" s="15" t="str">
        <f t="shared" si="5"/>
        <v/>
      </c>
      <c r="C165" s="15"/>
    </row>
    <row r="166" spans="1:3" x14ac:dyDescent="0.3">
      <c r="A166" s="14"/>
      <c r="B166" s="15" t="str">
        <f t="shared" si="5"/>
        <v/>
      </c>
      <c r="C166" s="15"/>
    </row>
    <row r="167" spans="1:3" x14ac:dyDescent="0.3">
      <c r="A167" s="14"/>
      <c r="B167" s="15" t="str">
        <f t="shared" si="5"/>
        <v/>
      </c>
      <c r="C167" s="15"/>
    </row>
    <row r="168" spans="1:3" x14ac:dyDescent="0.3">
      <c r="A168" s="14"/>
      <c r="B168" s="15" t="str">
        <f t="shared" si="5"/>
        <v/>
      </c>
      <c r="C168" s="15"/>
    </row>
    <row r="169" spans="1:3" x14ac:dyDescent="0.3">
      <c r="A169" s="14"/>
      <c r="B169" s="15" t="str">
        <f t="shared" si="5"/>
        <v/>
      </c>
      <c r="C169" s="15"/>
    </row>
    <row r="170" spans="1:3" x14ac:dyDescent="0.3">
      <c r="A170" s="14"/>
      <c r="B170" s="15" t="str">
        <f t="shared" si="5"/>
        <v/>
      </c>
      <c r="C170" s="15"/>
    </row>
    <row r="171" spans="1:3" x14ac:dyDescent="0.3">
      <c r="A171" s="14"/>
      <c r="B171" s="15" t="str">
        <f t="shared" si="5"/>
        <v/>
      </c>
      <c r="C171" s="15"/>
    </row>
    <row r="172" spans="1:3" x14ac:dyDescent="0.3">
      <c r="A172" s="14"/>
      <c r="B172" s="15" t="str">
        <f t="shared" si="5"/>
        <v/>
      </c>
      <c r="C172" s="15"/>
    </row>
    <row r="173" spans="1:3" x14ac:dyDescent="0.3">
      <c r="A173" s="14"/>
      <c r="B173" s="15" t="str">
        <f t="shared" si="5"/>
        <v/>
      </c>
      <c r="C173" s="15"/>
    </row>
    <row r="174" spans="1:3" x14ac:dyDescent="0.3">
      <c r="A174" s="14"/>
      <c r="B174" s="15" t="str">
        <f t="shared" si="5"/>
        <v/>
      </c>
      <c r="C174" s="15"/>
    </row>
    <row r="175" spans="1:3" x14ac:dyDescent="0.3">
      <c r="A175" s="14"/>
      <c r="B175" s="15" t="str">
        <f t="shared" si="5"/>
        <v/>
      </c>
      <c r="C175" s="15"/>
    </row>
    <row r="176" spans="1:3" x14ac:dyDescent="0.3">
      <c r="A176" s="14"/>
      <c r="B176" s="15" t="str">
        <f t="shared" si="5"/>
        <v/>
      </c>
      <c r="C176" s="15"/>
    </row>
    <row r="177" spans="1:3" x14ac:dyDescent="0.3">
      <c r="A177" s="14"/>
      <c r="B177" s="15" t="str">
        <f t="shared" si="5"/>
        <v/>
      </c>
      <c r="C177" s="15"/>
    </row>
    <row r="178" spans="1:3" x14ac:dyDescent="0.3">
      <c r="A178" s="14"/>
      <c r="B178" s="15" t="str">
        <f t="shared" si="5"/>
        <v/>
      </c>
      <c r="C178" s="15"/>
    </row>
    <row r="179" spans="1:3" x14ac:dyDescent="0.3">
      <c r="A179" s="14"/>
      <c r="B179" s="15" t="str">
        <f t="shared" ref="B179:B184" si="6">IF(ISBLANK(A179),"",_xlfn.CONCAT(LEFT(A179,SEARCH(" ",A179,1)-1)," ",MID(A179,SEARCH(" ",A179,1)+1,1)))</f>
        <v/>
      </c>
      <c r="C179" s="15"/>
    </row>
    <row r="180" spans="1:3" x14ac:dyDescent="0.3">
      <c r="A180" s="14"/>
      <c r="B180" s="15" t="str">
        <f t="shared" si="6"/>
        <v/>
      </c>
      <c r="C180" s="15"/>
    </row>
    <row r="181" spans="1:3" x14ac:dyDescent="0.3">
      <c r="A181" s="14"/>
      <c r="B181" s="15" t="str">
        <f t="shared" si="6"/>
        <v/>
      </c>
      <c r="C181" s="15"/>
    </row>
    <row r="182" spans="1:3" x14ac:dyDescent="0.3">
      <c r="A182" s="14"/>
      <c r="B182" s="15" t="str">
        <f t="shared" si="6"/>
        <v/>
      </c>
      <c r="C182" s="15"/>
    </row>
    <row r="183" spans="1:3" x14ac:dyDescent="0.3">
      <c r="A183" s="14"/>
      <c r="B183" s="15" t="str">
        <f t="shared" si="6"/>
        <v/>
      </c>
      <c r="C183" s="15"/>
    </row>
    <row r="184" spans="1:3" x14ac:dyDescent="0.3">
      <c r="A184" s="14"/>
      <c r="B184" s="15" t="str">
        <f t="shared" si="6"/>
        <v/>
      </c>
      <c r="C184" s="15"/>
    </row>
    <row r="185" spans="1:3" x14ac:dyDescent="0.3">
      <c r="A185" s="14"/>
      <c r="B185" s="15"/>
      <c r="C185" s="15"/>
    </row>
    <row r="186" spans="1:3" x14ac:dyDescent="0.3">
      <c r="A186" s="14"/>
      <c r="B186" s="15"/>
      <c r="C186" s="15"/>
    </row>
    <row r="187" spans="1:3" x14ac:dyDescent="0.3">
      <c r="A187" s="14"/>
      <c r="B187" s="15"/>
      <c r="C187" s="15"/>
    </row>
    <row r="188" spans="1:3" x14ac:dyDescent="0.3">
      <c r="A188" s="14"/>
      <c r="B188" s="15"/>
      <c r="C188" s="15"/>
    </row>
    <row r="189" spans="1:3" x14ac:dyDescent="0.3">
      <c r="A189" s="14"/>
      <c r="B189" s="15"/>
      <c r="C189" s="15"/>
    </row>
    <row r="190" spans="1:3" x14ac:dyDescent="0.3">
      <c r="A190" s="14"/>
      <c r="B190" s="15"/>
      <c r="C190" s="15"/>
    </row>
    <row r="191" spans="1:3" x14ac:dyDescent="0.3">
      <c r="A191" s="14"/>
      <c r="B191" s="15"/>
      <c r="C191" s="15"/>
    </row>
    <row r="192" spans="1:3" x14ac:dyDescent="0.3">
      <c r="A192" s="14"/>
      <c r="B192" s="15"/>
      <c r="C192" s="15"/>
    </row>
  </sheetData>
  <dataConsolidate/>
  <conditionalFormatting sqref="A2:A161">
    <cfRule type="duplicateValues" dxfId="7" priority="3"/>
  </conditionalFormatting>
  <dataValidations count="1">
    <dataValidation type="list" allowBlank="1" showInputMessage="1" showErrorMessage="1" sqref="D2:D184" xr:uid="{759E7A7A-9951-472B-8B62-374D5B3ABB83}">
      <formula1>$E$1:$E$3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6.calculateRanking">
                <anchor moveWithCells="1" sizeWithCells="1">
                  <from>
                    <xdr:col>4</xdr:col>
                    <xdr:colOff>60960</xdr:colOff>
                    <xdr:row>3</xdr:row>
                    <xdr:rowOff>22860</xdr:rowOff>
                  </from>
                  <to>
                    <xdr:col>7</xdr:col>
                    <xdr:colOff>434340</xdr:colOff>
                    <xdr:row>7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2D01EBE-4FFB-4BD4-A359-F0691F93DC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Master</vt:lpstr>
      <vt:lpstr>Registered Players</vt:lpstr>
      <vt:lpstr>Registered_Players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ralston</dc:creator>
  <cp:keywords/>
  <dc:description/>
  <cp:lastModifiedBy>david ralston</cp:lastModifiedBy>
  <cp:revision/>
  <dcterms:created xsi:type="dcterms:W3CDTF">2022-10-03T04:25:06Z</dcterms:created>
  <dcterms:modified xsi:type="dcterms:W3CDTF">2023-09-01T21:39:39Z</dcterms:modified>
  <cp:category/>
  <cp:contentStatus/>
</cp:coreProperties>
</file>